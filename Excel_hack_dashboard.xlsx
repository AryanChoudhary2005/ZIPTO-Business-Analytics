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7.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epak Kumar\Downloads\"/>
    </mc:Choice>
  </mc:AlternateContent>
  <xr:revisionPtr revIDLastSave="0" documentId="13_ncr:1_{C0430496-AE8F-45B2-BDB2-5352A146C53E}" xr6:coauthVersionLast="47" xr6:coauthVersionMax="47" xr10:uidLastSave="{00000000-0000-0000-0000-000000000000}"/>
  <bookViews>
    <workbookView xWindow="-110" yWindow="-110" windowWidth="19420" windowHeight="12220" firstSheet="3" activeTab="6" xr2:uid="{4ED96A6B-0DB5-4BDC-9D06-0DBAD0C48231}"/>
  </bookViews>
  <sheets>
    <sheet name="vw_delivery_perf" sheetId="3" r:id="rId1"/>
    <sheet name="vw_store_pnl" sheetId="7" r:id="rId2"/>
    <sheet name="vw_root_cause" sheetId="6" r:id="rId3"/>
    <sheet name="vw_promo_impact" sheetId="5" r:id="rId4"/>
    <sheet name="vw_category_perf" sheetId="2" r:id="rId5"/>
    <sheet name="Pivot Tables" sheetId="10" r:id="rId6"/>
    <sheet name="dashboard" sheetId="8" r:id="rId7"/>
  </sheets>
  <definedNames>
    <definedName name="ExternalData_1" localSheetId="4" hidden="1">vw_category_perf!$A$1:$E$9</definedName>
    <definedName name="ExternalData_2" localSheetId="0" hidden="1">vw_delivery_perf!$A$1:$D$11</definedName>
    <definedName name="ExternalData_3" localSheetId="3" hidden="1">vw_promo_impact!$A$1:$F$7</definedName>
    <definedName name="ExternalData_4" localSheetId="2" hidden="1">vw_root_cause!$A$1:$E$49</definedName>
    <definedName name="ExternalData_5" localSheetId="1" hidden="1">vw_store_pnl!$A$1:$K$11</definedName>
    <definedName name="Slicer_category">#N/A</definedName>
    <definedName name="Slicer_promo_code">#N/A</definedName>
    <definedName name="Slicer_store_id">#N/A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5" l="1"/>
  <c r="B15" i="3"/>
  <c r="A13" i="2"/>
  <c r="E14" i="7"/>
  <c r="O3" i="7"/>
  <c r="O4" i="7"/>
  <c r="O5" i="7"/>
  <c r="O6" i="7"/>
  <c r="O7" i="7"/>
  <c r="O8" i="7"/>
  <c r="O9" i="7"/>
  <c r="O10" i="7"/>
  <c r="O11" i="7"/>
  <c r="O2" i="7"/>
  <c r="N2" i="7"/>
  <c r="N3" i="7"/>
  <c r="N4" i="7"/>
  <c r="N5" i="7"/>
  <c r="N6" i="7"/>
  <c r="N7" i="7"/>
  <c r="N8" i="7"/>
  <c r="N9" i="7"/>
  <c r="N10" i="7"/>
  <c r="N11" i="7"/>
  <c r="F3" i="2"/>
  <c r="F4" i="2"/>
  <c r="F5" i="2"/>
  <c r="F6" i="2"/>
  <c r="F7" i="2"/>
  <c r="F8" i="2"/>
  <c r="F9" i="2"/>
  <c r="F2" i="2"/>
  <c r="M3" i="7"/>
  <c r="M4" i="7"/>
  <c r="M5" i="7"/>
  <c r="M6" i="7"/>
  <c r="M7" i="7"/>
  <c r="M8" i="7"/>
  <c r="M9" i="7"/>
  <c r="M10" i="7"/>
  <c r="M11" i="7"/>
  <c r="M2" i="7"/>
  <c r="L3" i="7"/>
  <c r="L4" i="7"/>
  <c r="L5" i="7"/>
  <c r="L6" i="7"/>
  <c r="L7" i="7"/>
  <c r="L8" i="7"/>
  <c r="L9" i="7"/>
  <c r="L10" i="7"/>
  <c r="L11" i="7"/>
  <c r="L2" i="7"/>
  <c r="I8" i="6"/>
  <c r="C14" i="7"/>
  <c r="F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E4C9E2-3ABD-40B0-8298-3E8C596A0EB8}" keepAlive="1" name="Query - vw_category_perf" description="Connection to the 'vw_category_perf' query in the workbook." type="5" refreshedVersion="8" background="1" saveData="1">
    <dbPr connection="Provider=Microsoft.Mashup.OleDb.1;Data Source=$Workbook$;Location=vw_category_perf;Extended Properties=&quot;&quot;" command="SELECT * FROM [vw_category_perf]"/>
  </connection>
  <connection id="2" xr16:uid="{4B43BE34-E611-4D88-A7E3-F79CD5361115}" keepAlive="1" name="Query - vw_delivery_perf" description="Connection to the 'vw_delivery_perf' query in the workbook." type="5" refreshedVersion="8" background="1" saveData="1">
    <dbPr connection="Provider=Microsoft.Mashup.OleDb.1;Data Source=$Workbook$;Location=vw_delivery_perf;Extended Properties=&quot;&quot;" command="SELECT * FROM [vw_delivery_perf]"/>
  </connection>
  <connection id="3" xr16:uid="{6C278F4B-BF69-4408-A1C9-E51AEB731493}" keepAlive="1" name="Query - vw_monthly_impact" description="Connection to the 'vw_monthly_impact' query in the workbook." type="5" refreshedVersion="8" background="1" saveData="1">
    <dbPr connection="Provider=Microsoft.Mashup.OleDb.1;Data Source=$Workbook$;Location=vw_monthly_impact;Extended Properties=&quot;&quot;" command="SELECT * FROM [vw_monthly_impact]"/>
  </connection>
  <connection id="4" xr16:uid="{27773A30-BB32-4049-9E07-1AF8CDD3338D}" keepAlive="1" name="Query - vw_promo_impact" description="Connection to the 'vw_promo_impact' query in the workbook." type="5" refreshedVersion="8" background="1" saveData="1">
    <dbPr connection="Provider=Microsoft.Mashup.OleDb.1;Data Source=$Workbook$;Location=vw_promo_impact;Extended Properties=&quot;&quot;" command="SELECT * FROM [vw_promo_impact]"/>
  </connection>
  <connection id="5" xr16:uid="{1AF18B26-46B7-4AC7-AC47-32FFB28B5D20}" keepAlive="1" name="Query - vw_root_cause" description="Connection to the 'vw_root_cause' query in the workbook." type="5" refreshedVersion="8" background="1" saveData="1">
    <dbPr connection="Provider=Microsoft.Mashup.OleDb.1;Data Source=$Workbook$;Location=vw_root_cause;Extended Properties=&quot;&quot;" command="SELECT * FROM [vw_root_cause]"/>
  </connection>
  <connection id="6" xr16:uid="{C43F49A3-BABD-47A1-8545-641522E23ACF}" keepAlive="1" name="Query - vw_store_pnl" description="Connection to the 'vw_store_pnl' query in the workbook." type="5" refreshedVersion="8" background="1" saveData="1">
    <dbPr connection="Provider=Microsoft.Mashup.OleDb.1;Data Source=$Workbook$;Location=vw_store_pnl;Extended Properties=&quot;&quot;" command="SELECT * FROM [vw_store_pnl]"/>
  </connection>
</connections>
</file>

<file path=xl/sharedStrings.xml><?xml version="1.0" encoding="utf-8"?>
<sst xmlns="http://schemas.openxmlformats.org/spreadsheetml/2006/main" count="407" uniqueCount="91">
  <si>
    <t>Bakery</t>
  </si>
  <si>
    <t>Beverages</t>
  </si>
  <si>
    <t>Dairy &amp; Eggs</t>
  </si>
  <si>
    <t>Fruits &amp; Vegetables</t>
  </si>
  <si>
    <t>Household</t>
  </si>
  <si>
    <t>Meat &amp; Seafood</t>
  </si>
  <si>
    <t>Personal Care</t>
  </si>
  <si>
    <t>Snacks &amp; Packaged</t>
  </si>
  <si>
    <t>S01</t>
  </si>
  <si>
    <t>S02</t>
  </si>
  <si>
    <t>S03</t>
  </si>
  <si>
    <t>S04</t>
  </si>
  <si>
    <t>S05</t>
  </si>
  <si>
    <t>S06</t>
  </si>
  <si>
    <t>S07</t>
  </si>
  <si>
    <t>S08</t>
  </si>
  <si>
    <t>S10</t>
  </si>
  <si>
    <t>S09</t>
  </si>
  <si>
    <t>NEW100</t>
  </si>
  <si>
    <t>SAVE20</t>
  </si>
  <si>
    <t>FLAT75</t>
  </si>
  <si>
    <t>WEEKEND15</t>
  </si>
  <si>
    <t>CITY150</t>
  </si>
  <si>
    <t>FRESH50</t>
  </si>
  <si>
    <t>category</t>
  </si>
  <si>
    <t>orders</t>
  </si>
  <si>
    <t>units_sold</t>
  </si>
  <si>
    <t>revenue</t>
  </si>
  <si>
    <t>margin</t>
  </si>
  <si>
    <t>promo_code</t>
  </si>
  <si>
    <t>orders_used</t>
  </si>
  <si>
    <t>gross_revenue</t>
  </si>
  <si>
    <t>total_discount_given</t>
  </si>
  <si>
    <t>avg_discount</t>
  </si>
  <si>
    <t>contribution</t>
  </si>
  <si>
    <t>discount_cost</t>
  </si>
  <si>
    <t>store_id</t>
  </si>
  <si>
    <t>total_orders</t>
  </si>
  <si>
    <t>delivered</t>
  </si>
  <si>
    <t>returned</t>
  </si>
  <si>
    <t>cancelled</t>
  </si>
  <si>
    <t>discounts</t>
  </si>
  <si>
    <t>cogs</t>
  </si>
  <si>
    <t>delivery_cost</t>
  </si>
  <si>
    <t>cancel_pct</t>
  </si>
  <si>
    <t>delivered_orders</t>
  </si>
  <si>
    <t>avg_actual_min</t>
  </si>
  <si>
    <t>on_time_pct</t>
  </si>
  <si>
    <t>Row Labels</t>
  </si>
  <si>
    <t>Grand Total</t>
  </si>
  <si>
    <t>Sum of delivered_orders</t>
  </si>
  <si>
    <t>Store with no. of deliveries</t>
  </si>
  <si>
    <t>Sum of orders</t>
  </si>
  <si>
    <t>Sum of revenue</t>
  </si>
  <si>
    <t>Sum of margin</t>
  </si>
  <si>
    <t>Category with profit margin</t>
  </si>
  <si>
    <t>Category with revenue</t>
  </si>
  <si>
    <t>Sum of gross_revenue</t>
  </si>
  <si>
    <t>Promo Code with gross revenue</t>
  </si>
  <si>
    <t>Sum of total_discount_given</t>
  </si>
  <si>
    <t>Sum of total_orders</t>
  </si>
  <si>
    <t>Store with total orders</t>
  </si>
  <si>
    <t>Store with total returns</t>
  </si>
  <si>
    <t>Category with total orders</t>
  </si>
  <si>
    <t>Sum of cogs</t>
  </si>
  <si>
    <t>store with revenue</t>
  </si>
  <si>
    <t>Store with cogs</t>
  </si>
  <si>
    <t>Average of cancel_pct</t>
  </si>
  <si>
    <t>Store with cancel Percentage</t>
  </si>
  <si>
    <t>Return Percentage</t>
  </si>
  <si>
    <t>Average of Return Percentage</t>
  </si>
  <si>
    <t>Delivery Percent</t>
  </si>
  <si>
    <t>Store with delivery Percentage</t>
  </si>
  <si>
    <t>Average of Delivery Percent</t>
  </si>
  <si>
    <t>Profit Margin Percentage</t>
  </si>
  <si>
    <t>Average of Profit Margin Percentage</t>
  </si>
  <si>
    <t>Category with Profit Margin Percentage</t>
  </si>
  <si>
    <t>Sum of units_sold</t>
  </si>
  <si>
    <t>Category with units sold</t>
  </si>
  <si>
    <t>Profit</t>
  </si>
  <si>
    <t>Profit Margin%</t>
  </si>
  <si>
    <t>Sum of Profit</t>
  </si>
  <si>
    <t>Store with profit</t>
  </si>
  <si>
    <t>Store with profit Margin%</t>
  </si>
  <si>
    <t>Average of Profit Margin%</t>
  </si>
  <si>
    <t>Sum of orders_used</t>
  </si>
  <si>
    <t>Promo Code with orders used</t>
  </si>
  <si>
    <t>Promo code total spend</t>
  </si>
  <si>
    <t>Promo code with gross revenue</t>
  </si>
  <si>
    <t>ZIPTO DARK STORE ANALYSIS DASHBOARD</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</si>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</sst>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quot;\ * #,##0_ ;_ &quot;₹&quot;\ * \-#,##0_ ;_ &quot;₹&quot;\ * &quot;-&quot;??_ ;_ @_ "/>
    <numFmt numFmtId="165" formatCode="&quot;₹&quot;\ #,##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b/>
      <sz val="26"/>
      <color theme="0"/>
      <name val="Aptos"/>
      <family val="2"/>
    </font>
  </fonts>
  <fills count="5">
    <fill>
      <patternFill patternType="none"/>
    </fill>
    <fill>
      <patternFill patternType="gray125"/>
    </fill>
    <fill>
      <patternFill patternType="solid">
        <fgColor theme="1"/>
        <bgColor indexed="64"/>
      </patternFill>
    </fill>
    <fill>
      <patternFill patternType="solid">
        <fgColor theme="3"/>
        <bgColor indexed="64"/>
      </patternFill>
    </fill>
    <fill>
      <patternFill patternType="solid">
        <fgColor theme="4"/>
        <bgColor indexed="64"/>
      </patternFill>
    </fill>
  </fills>
  <borders count="2">
    <border>
      <left/>
      <right/>
      <top/>
      <bottom/>
      <diagonal/>
    </border>
    <border>
      <left/>
      <right style="thin">
        <color theme="9" tint="0.39997558519241921"/>
      </right>
      <top style="double">
        <color theme="9"/>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0" xfId="0" applyFill="1"/>
    <xf numFmtId="0" fontId="3" fillId="0" borderId="0" xfId="0" applyFont="1" applyAlignment="1">
      <alignment horizontal="left" vertical="center" wrapText="1" indent="1"/>
    </xf>
    <xf numFmtId="0" fontId="0" fillId="3" borderId="0" xfId="0" applyFill="1" applyAlignment="1">
      <alignment vertical="center"/>
    </xf>
    <xf numFmtId="0" fontId="2" fillId="0" borderId="1" xfId="0" applyFont="1" applyBorder="1"/>
    <xf numFmtId="164" fontId="0" fillId="0" borderId="0" xfId="0" applyNumberFormat="1"/>
    <xf numFmtId="0" fontId="4" fillId="2" borderId="0" xfId="0" applyFont="1" applyFill="1"/>
    <xf numFmtId="9" fontId="0" fillId="0" borderId="0" xfId="1" applyFont="1"/>
    <xf numFmtId="0" fontId="0" fillId="0" borderId="0" xfId="0" pivotButton="1"/>
    <xf numFmtId="0" fontId="0" fillId="0" borderId="0" xfId="0" applyAlignment="1">
      <alignment horizontal="left"/>
    </xf>
    <xf numFmtId="9" fontId="0" fillId="0" borderId="0" xfId="0" applyNumberFormat="1"/>
    <xf numFmtId="165" fontId="0" fillId="0" borderId="0" xfId="0" applyNumberFormat="1"/>
    <xf numFmtId="0" fontId="5" fillId="4"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20"/>
        <name val="Calibri"/>
        <family val="2"/>
        <scheme val="minor"/>
      </font>
    </dxf>
  </dxfs>
  <tableStyles count="2" defaultTableStyle="TableStyleMedium2" defaultPivotStyle="PivotStyleLight16">
    <tableStyle name="Slicer Style 1" pivot="0" table="0" count="1" xr9:uid="{3EE3BDDF-6327-43B1-AB88-C329E9665E50}">
      <tableStyleElement type="wholeTable" dxfId="12"/>
    </tableStyle>
    <tableStyle name="Slicer Style 2" pivot="0" table="0" count="1" xr9:uid="{4433C4B4-3C2A-44FF-B3DA-62FA322DF12E}"/>
  </tableStyles>
  <extLst>
    <ext xmlns:x14="http://schemas.microsoft.com/office/spreadsheetml/2009/9/main" uri="{46F421CA-312F-682f-3DD2-61675219B42D}">
      <x14:dxfs count="1">
        <dxf>
          <fill>
            <gradientFill degree="90">
              <stop position="0">
                <color theme="0"/>
              </stop>
              <stop position="1">
                <color theme="4"/>
              </stop>
            </gradientFill>
          </fill>
          <border>
            <left style="thin">
              <color rgb="FFFF0000"/>
            </left>
            <right style="thin">
              <color rgb="FFFF0000"/>
            </right>
            <top style="thin">
              <color rgb="FFFF0000"/>
            </top>
            <bottom style="thin">
              <color rgb="FFFF0000"/>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Tables!PivotTable8</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total orders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Tables'!$A$32:$A$42</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Tables'!$B$32:$B$42</c:f>
              <c:numCache>
                <c:formatCode>General</c:formatCode>
                <c:ptCount val="10"/>
                <c:pt idx="0">
                  <c:v>6091</c:v>
                </c:pt>
                <c:pt idx="1">
                  <c:v>5877</c:v>
                </c:pt>
                <c:pt idx="2">
                  <c:v>5564</c:v>
                </c:pt>
                <c:pt idx="3">
                  <c:v>5622</c:v>
                </c:pt>
                <c:pt idx="4">
                  <c:v>4688</c:v>
                </c:pt>
                <c:pt idx="5">
                  <c:v>6153</c:v>
                </c:pt>
                <c:pt idx="6">
                  <c:v>5687</c:v>
                </c:pt>
                <c:pt idx="7">
                  <c:v>5309</c:v>
                </c:pt>
                <c:pt idx="8">
                  <c:v>1815</c:v>
                </c:pt>
                <c:pt idx="9">
                  <c:v>5327</c:v>
                </c:pt>
              </c:numCache>
            </c:numRef>
          </c:val>
          <c:extLst>
            <c:ext xmlns:c16="http://schemas.microsoft.com/office/drawing/2014/chart" uri="{C3380CC4-5D6E-409C-BE32-E72D297353CC}">
              <c16:uniqueId val="{00000000-1088-4B78-8919-68FB1ED3AE6B}"/>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[Excel_hack_dashboard.xlsx]Pivot Tables!PivotTable11</c:name>
    <c:fmtId val="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Gross Revenue</a:t>
            </a:r>
          </a:p>
        </c:rich>
      </c:tx>
      <c:layout>
        <c:manualLayout>
          <c:xMode val="edge"/>
          <c:yMode val="edge"/>
          <c:x val="0.2270493010508251"/>
          <c:y val="4.4333594075575286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Tables'!$A$48:$A$58</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Tables'!$B$48:$B$58</c:f>
              <c:numCache>
                <c:formatCode>General</c:formatCode>
                <c:ptCount val="10"/>
                <c:pt idx="0">
                  <c:v>3370538.3</c:v>
                </c:pt>
                <c:pt idx="1">
                  <c:v>3269608.95</c:v>
                </c:pt>
                <c:pt idx="2">
                  <c:v>3051694.83</c:v>
                </c:pt>
                <c:pt idx="3">
                  <c:v>3109656.42</c:v>
                </c:pt>
                <c:pt idx="4">
                  <c:v>2586827.0299999998</c:v>
                </c:pt>
                <c:pt idx="5">
                  <c:v>3347415.33</c:v>
                </c:pt>
                <c:pt idx="6">
                  <c:v>3123166.37</c:v>
                </c:pt>
                <c:pt idx="7">
                  <c:v>2916363.05</c:v>
                </c:pt>
                <c:pt idx="8">
                  <c:v>1008430.21</c:v>
                </c:pt>
                <c:pt idx="9">
                  <c:v>2941966.31</c:v>
                </c:pt>
              </c:numCache>
            </c:numRef>
          </c:val>
          <c:extLst>
            <c:ext xmlns:c16="http://schemas.microsoft.com/office/drawing/2014/chart" uri="{C3380CC4-5D6E-409C-BE32-E72D297353CC}">
              <c16:uniqueId val="{00000000-15D0-45D2-9139-F32F9D9A165A}"/>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Tables!PivotTable9</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total return orders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Tables'!$D$32:$D$42</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Tables'!$E$32:$E$42</c:f>
              <c:numCache>
                <c:formatCode>0%</c:formatCode>
                <c:ptCount val="10"/>
                <c:pt idx="0">
                  <c:v>3.2999507470037763E-2</c:v>
                </c:pt>
                <c:pt idx="1">
                  <c:v>3.0287561681129827E-2</c:v>
                </c:pt>
                <c:pt idx="2">
                  <c:v>7.9439252336448593E-2</c:v>
                </c:pt>
                <c:pt idx="3">
                  <c:v>2.9526858769121308E-2</c:v>
                </c:pt>
                <c:pt idx="4">
                  <c:v>3.1996587030716721E-2</c:v>
                </c:pt>
                <c:pt idx="5">
                  <c:v>3.4129692832764506E-2</c:v>
                </c:pt>
                <c:pt idx="6">
                  <c:v>0.14014418850008792</c:v>
                </c:pt>
                <c:pt idx="7">
                  <c:v>3.0514221133923526E-2</c:v>
                </c:pt>
                <c:pt idx="8">
                  <c:v>3.9669421487603308E-2</c:v>
                </c:pt>
                <c:pt idx="9">
                  <c:v>3.3414679932419748E-2</c:v>
                </c:pt>
              </c:numCache>
            </c:numRef>
          </c:val>
          <c:extLst>
            <c:ext xmlns:c16="http://schemas.microsoft.com/office/drawing/2014/chart" uri="{C3380CC4-5D6E-409C-BE32-E72D297353CC}">
              <c16:uniqueId val="{00000002-2489-4C62-B40E-BEF9361B49F5}"/>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Tables!PivotTable13</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cancel Percentage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Tables'!$H$47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Tables'!$G$48:$G$58</c:f>
              <c:strCache>
                <c:ptCount val="10"/>
                <c:pt idx="0">
                  <c:v>S07</c:v>
                </c:pt>
                <c:pt idx="1">
                  <c:v>S04</c:v>
                </c:pt>
                <c:pt idx="2">
                  <c:v>S05</c:v>
                </c:pt>
                <c:pt idx="3">
                  <c:v>S03</c:v>
                </c:pt>
                <c:pt idx="4">
                  <c:v>S06</c:v>
                </c:pt>
                <c:pt idx="5">
                  <c:v>S08</c:v>
                </c:pt>
                <c:pt idx="6">
                  <c:v>S02</c:v>
                </c:pt>
                <c:pt idx="7">
                  <c:v>S01</c:v>
                </c:pt>
                <c:pt idx="8">
                  <c:v>S10</c:v>
                </c:pt>
                <c:pt idx="9">
                  <c:v>S09</c:v>
                </c:pt>
              </c:strCache>
            </c:strRef>
          </c:cat>
          <c:val>
            <c:numRef>
              <c:f>'Pivot Tables'!$H$48:$H$58</c:f>
              <c:numCache>
                <c:formatCode>General</c:formatCode>
                <c:ptCount val="10"/>
                <c:pt idx="0">
                  <c:v>2.23</c:v>
                </c:pt>
                <c:pt idx="1">
                  <c:v>2.19</c:v>
                </c:pt>
                <c:pt idx="2">
                  <c:v>2.1800000000000002</c:v>
                </c:pt>
                <c:pt idx="3">
                  <c:v>2.17</c:v>
                </c:pt>
                <c:pt idx="4">
                  <c:v>2.15</c:v>
                </c:pt>
                <c:pt idx="5">
                  <c:v>2</c:v>
                </c:pt>
                <c:pt idx="6">
                  <c:v>1.96</c:v>
                </c:pt>
                <c:pt idx="7">
                  <c:v>1.94</c:v>
                </c:pt>
                <c:pt idx="8">
                  <c:v>1.73</c:v>
                </c:pt>
                <c:pt idx="9">
                  <c:v>1.71</c:v>
                </c:pt>
              </c:numCache>
            </c:numRef>
          </c:val>
          <c:extLst>
            <c:ext xmlns:c16="http://schemas.microsoft.com/office/drawing/2014/chart" uri="{C3380CC4-5D6E-409C-BE32-E72D297353CC}">
              <c16:uniqueId val="{00000000-4769-446E-A0B6-5156DF8E7686}"/>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[Excel_hack_dashboard.xlsx]Pivot Tables!PivotTable14</c:name>
    <c:fmtId val="7"/>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with delivery percentage</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Tables'!$A$64:$A$74</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Tables'!$B$64:$B$74</c:f>
              <c:numCache>
                <c:formatCode>0%</c:formatCode>
                <c:ptCount val="10"/>
                <c:pt idx="0">
                  <c:v>0.94762764734854699</c:v>
                </c:pt>
                <c:pt idx="1">
                  <c:v>0.95014463161476947</c:v>
                </c:pt>
                <c:pt idx="2">
                  <c:v>0.8988138030194105</c:v>
                </c:pt>
                <c:pt idx="3">
                  <c:v>0.94859480611881897</c:v>
                </c:pt>
                <c:pt idx="4">
                  <c:v>0.94624573378839594</c:v>
                </c:pt>
                <c:pt idx="5">
                  <c:v>0.94441735738664068</c:v>
                </c:pt>
                <c:pt idx="6">
                  <c:v>0.8375241779497099</c:v>
                </c:pt>
                <c:pt idx="7">
                  <c:v>0.94951968355622529</c:v>
                </c:pt>
                <c:pt idx="8">
                  <c:v>0.94325068870523421</c:v>
                </c:pt>
                <c:pt idx="9">
                  <c:v>0.9493148113384644</c:v>
                </c:pt>
              </c:numCache>
            </c:numRef>
          </c:val>
          <c:extLst>
            <c:ext xmlns:c16="http://schemas.microsoft.com/office/drawing/2014/chart" uri="{C3380CC4-5D6E-409C-BE32-E72D297353CC}">
              <c16:uniqueId val="{00000000-BA2E-4AE9-B90E-DD69DF6B036E}"/>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[Excel_hack_dashboard.xlsx]Pivot Tables!PivotTable21</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share in profits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Tables'!$E$78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5D-4F7A-8961-5ED18DC39D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5D-4F7A-8961-5ED18DC39D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95D-4F7A-8961-5ED18DC39D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95D-4F7A-8961-5ED18DC39D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95D-4F7A-8961-5ED18DC39D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95D-4F7A-8961-5ED18DC39D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95D-4F7A-8961-5ED18DC39D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95D-4F7A-8961-5ED18DC39D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95D-4F7A-8961-5ED18DC39D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95D-4F7A-8961-5ED18DC39D1E}"/>
              </c:ext>
            </c:extLst>
          </c:dPt>
          <c:cat>
            <c:strRef>
              <c:f>'Pivot Tables'!$D$79:$D$89</c:f>
              <c:strCache>
                <c:ptCount val="10"/>
                <c:pt idx="0">
                  <c:v>S01</c:v>
                </c:pt>
                <c:pt idx="1">
                  <c:v>S02</c:v>
                </c:pt>
                <c:pt idx="2">
                  <c:v>S03</c:v>
                </c:pt>
                <c:pt idx="3">
                  <c:v>S04</c:v>
                </c:pt>
                <c:pt idx="4">
                  <c:v>S05</c:v>
                </c:pt>
                <c:pt idx="5">
                  <c:v>S06</c:v>
                </c:pt>
                <c:pt idx="6">
                  <c:v>S07</c:v>
                </c:pt>
                <c:pt idx="7">
                  <c:v>S08</c:v>
                </c:pt>
                <c:pt idx="8">
                  <c:v>S09</c:v>
                </c:pt>
                <c:pt idx="9">
                  <c:v>S10</c:v>
                </c:pt>
              </c:strCache>
            </c:strRef>
          </c:cat>
          <c:val>
            <c:numRef>
              <c:f>'Pivot Tables'!$E$79:$E$89</c:f>
              <c:numCache>
                <c:formatCode>General</c:formatCode>
                <c:ptCount val="10"/>
                <c:pt idx="0">
                  <c:v>579936.92999999993</c:v>
                </c:pt>
                <c:pt idx="1">
                  <c:v>563371.41999999981</c:v>
                </c:pt>
                <c:pt idx="2">
                  <c:v>305530.18</c:v>
                </c:pt>
                <c:pt idx="3">
                  <c:v>539230.75000000012</c:v>
                </c:pt>
                <c:pt idx="4">
                  <c:v>449633.43</c:v>
                </c:pt>
                <c:pt idx="5">
                  <c:v>581601.52000000025</c:v>
                </c:pt>
                <c:pt idx="6">
                  <c:v>202787.7400000006</c:v>
                </c:pt>
                <c:pt idx="7">
                  <c:v>512031.38999999966</c:v>
                </c:pt>
                <c:pt idx="8">
                  <c:v>175164.90999999992</c:v>
                </c:pt>
                <c:pt idx="9">
                  <c:v>513786.7300000001</c:v>
                </c:pt>
              </c:numCache>
            </c:numRef>
          </c:val>
          <c:extLst>
            <c:ext xmlns:c16="http://schemas.microsoft.com/office/drawing/2014/chart" uri="{C3380CC4-5D6E-409C-BE32-E72D297353CC}">
              <c16:uniqueId val="{00000000-9910-48A7-9613-4A87FEB9EF8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ysClr val="windowText" lastClr="000000"/>
    </a:solidFill>
    <a:ln>
      <a:gradFill>
        <a:gsLst>
          <a:gs pos="0">
            <a:sysClr val="window" lastClr="FFFFFF">
              <a:lumMod val="95000"/>
            </a:sys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[Excel_hack_dashboard.xlsx]Pivot Tables!PivotTable23</c:name>
    <c:fmtId val="6"/>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 Code with No. of orders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Tables'!$A$96:$A$102</c:f>
              <c:strCache>
                <c:ptCount val="6"/>
                <c:pt idx="0">
                  <c:v>CITY150</c:v>
                </c:pt>
                <c:pt idx="1">
                  <c:v>FLAT75</c:v>
                </c:pt>
                <c:pt idx="2">
                  <c:v>FRESH50</c:v>
                </c:pt>
                <c:pt idx="3">
                  <c:v>NEW100</c:v>
                </c:pt>
                <c:pt idx="4">
                  <c:v>SAVE20</c:v>
                </c:pt>
                <c:pt idx="5">
                  <c:v>WEEKEND15</c:v>
                </c:pt>
              </c:strCache>
            </c:strRef>
          </c:cat>
          <c:val>
            <c:numRef>
              <c:f>'Pivot Tables'!$B$96:$B$102</c:f>
              <c:numCache>
                <c:formatCode>General</c:formatCode>
                <c:ptCount val="6"/>
                <c:pt idx="0">
                  <c:v>86</c:v>
                </c:pt>
                <c:pt idx="1">
                  <c:v>2273</c:v>
                </c:pt>
                <c:pt idx="2">
                  <c:v>1539</c:v>
                </c:pt>
                <c:pt idx="3">
                  <c:v>1064</c:v>
                </c:pt>
                <c:pt idx="4">
                  <c:v>3729</c:v>
                </c:pt>
                <c:pt idx="5">
                  <c:v>3375</c:v>
                </c:pt>
              </c:numCache>
            </c:numRef>
          </c:val>
          <c:extLst>
            <c:ext xmlns:c16="http://schemas.microsoft.com/office/drawing/2014/chart" uri="{C3380CC4-5D6E-409C-BE32-E72D297353CC}">
              <c16:uniqueId val="{00000000-6B48-4385-B1D2-8578B52D23F2}"/>
            </c:ext>
          </c:extLst>
        </c:ser>
        <c:dLbls>
          <c:dLblPos val="inEnd"/>
          <c:showLegendKey val="0"/>
          <c:showVal val="1"/>
          <c:showCatName val="0"/>
          <c:showSerName val="0"/>
          <c:showPercent val="0"/>
          <c:showBubbleSize val="0"/>
        </c:dLbls>
        <c:gapWidth val="115"/>
        <c:overlap val="-20"/>
        <c:axId val="868067983"/>
        <c:axId val="121309167"/>
      </c:barChart>
      <c:catAx>
        <c:axId val="86806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21309167"/>
        <c:crosses val="autoZero"/>
        <c:auto val="1"/>
        <c:lblAlgn val="ctr"/>
        <c:lblOffset val="100"/>
        <c:noMultiLvlLbl val="0"/>
      </c:catAx>
      <c:valAx>
        <c:axId val="12130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868067983"/>
        <c:crosses val="autoZero"/>
        <c:crossBetween val="between"/>
      </c:valAx>
      <c:spPr>
        <a:noFill/>
        <a:ln>
          <a:noFill/>
        </a:ln>
        <a:effectLst/>
      </c:spPr>
    </c:plotArea>
    <c:plotVisOnly val="1"/>
    <c:dispBlanksAs val="gap"/>
    <c:showDLblsOverMax val="0"/>
    <c:extLst/>
  </c:chart>
  <c:spPr>
    <a:solidFill>
      <a:srgbClr val="4472C4">
        <a:lumMod val="50000"/>
      </a:srgbClr>
    </a:solidFill>
    <a:ln>
      <a:gradFill>
        <a:gsLst>
          <a:gs pos="0">
            <a:schemeClr val="tx1">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[Excel_hack_dashboard.xlsx]Pivot Tables!PivotTable24</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 Code with total discount cost</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Tables'!$E$95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Tables'!$D$96:$D$102</c:f>
              <c:strCache>
                <c:ptCount val="6"/>
                <c:pt idx="0">
                  <c:v>CITY150</c:v>
                </c:pt>
                <c:pt idx="1">
                  <c:v>FLAT75</c:v>
                </c:pt>
                <c:pt idx="2">
                  <c:v>FRESH50</c:v>
                </c:pt>
                <c:pt idx="3">
                  <c:v>NEW100</c:v>
                </c:pt>
                <c:pt idx="4">
                  <c:v>SAVE20</c:v>
                </c:pt>
                <c:pt idx="5">
                  <c:v>WEEKEND15</c:v>
                </c:pt>
              </c:strCache>
            </c:strRef>
          </c:cat>
          <c:val>
            <c:numRef>
              <c:f>'Pivot Tables'!$E$96:$E$102</c:f>
              <c:numCache>
                <c:formatCode>General</c:formatCode>
                <c:ptCount val="6"/>
                <c:pt idx="0">
                  <c:v>12900</c:v>
                </c:pt>
                <c:pt idx="1">
                  <c:v>170416.8</c:v>
                </c:pt>
                <c:pt idx="2">
                  <c:v>506581.36</c:v>
                </c:pt>
                <c:pt idx="3">
                  <c:v>106313.39</c:v>
                </c:pt>
                <c:pt idx="4">
                  <c:v>464677.9</c:v>
                </c:pt>
                <c:pt idx="5">
                  <c:v>303291.34999999998</c:v>
                </c:pt>
              </c:numCache>
            </c:numRef>
          </c:val>
          <c:extLst>
            <c:ext xmlns:c16="http://schemas.microsoft.com/office/drawing/2014/chart" uri="{C3380CC4-5D6E-409C-BE32-E72D297353CC}">
              <c16:uniqueId val="{00000000-5323-4FC0-8C66-4542BD520C22}"/>
            </c:ext>
          </c:extLst>
        </c:ser>
        <c:dLbls>
          <c:showLegendKey val="0"/>
          <c:showVal val="0"/>
          <c:showCatName val="0"/>
          <c:showSerName val="0"/>
          <c:showPercent val="0"/>
          <c:showBubbleSize val="0"/>
        </c:dLbls>
        <c:gapWidth val="115"/>
        <c:overlap val="-20"/>
        <c:axId val="868067983"/>
        <c:axId val="121309167"/>
      </c:barChart>
      <c:catAx>
        <c:axId val="86806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21309167"/>
        <c:crosses val="autoZero"/>
        <c:auto val="1"/>
        <c:lblAlgn val="ctr"/>
        <c:lblOffset val="100"/>
        <c:noMultiLvlLbl val="0"/>
      </c:catAx>
      <c:valAx>
        <c:axId val="12130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868067983"/>
        <c:crosses val="autoZero"/>
        <c:crossBetween val="between"/>
      </c:valAx>
      <c:spPr>
        <a:noFill/>
        <a:ln>
          <a:noFill/>
        </a:ln>
        <a:effectLst/>
      </c:spPr>
    </c:plotArea>
    <c:plotVisOnly val="1"/>
    <c:dispBlanksAs val="gap"/>
    <c:showDLblsOverMax val="0"/>
    <c:extLst/>
  </c:chart>
  <c:spPr>
    <a:solidFill>
      <a:srgbClr val="4472C4">
        <a:lumMod val="50000"/>
      </a:srgbClr>
    </a:solidFill>
    <a:ln>
      <a:gradFill>
        <a:gsLst>
          <a:gs pos="0">
            <a:schemeClr val="tx1">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[Excel_hack_dashboard.xlsx]Pivot Tables!PivotTable25</c:name>
    <c:fmtId val="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 Code with gross revenue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Tables'!$G$96:$G$102</c:f>
              <c:strCache>
                <c:ptCount val="6"/>
                <c:pt idx="0">
                  <c:v>CITY150</c:v>
                </c:pt>
                <c:pt idx="1">
                  <c:v>FLAT75</c:v>
                </c:pt>
                <c:pt idx="2">
                  <c:v>FRESH50</c:v>
                </c:pt>
                <c:pt idx="3">
                  <c:v>NEW100</c:v>
                </c:pt>
                <c:pt idx="4">
                  <c:v>SAVE20</c:v>
                </c:pt>
                <c:pt idx="5">
                  <c:v>WEEKEND15</c:v>
                </c:pt>
              </c:strCache>
            </c:strRef>
          </c:cat>
          <c:val>
            <c:numRef>
              <c:f>'Pivot Tables'!$H$96:$H$102</c:f>
              <c:numCache>
                <c:formatCode>General</c:formatCode>
                <c:ptCount val="6"/>
                <c:pt idx="0">
                  <c:v>93189.07</c:v>
                </c:pt>
                <c:pt idx="1">
                  <c:v>1563588.22</c:v>
                </c:pt>
                <c:pt idx="2">
                  <c:v>1013162.66</c:v>
                </c:pt>
                <c:pt idx="3">
                  <c:v>828878.59</c:v>
                </c:pt>
                <c:pt idx="4">
                  <c:v>2323389.35</c:v>
                </c:pt>
                <c:pt idx="5">
                  <c:v>2021943.92</c:v>
                </c:pt>
              </c:numCache>
            </c:numRef>
          </c:val>
          <c:extLst>
            <c:ext xmlns:c16="http://schemas.microsoft.com/office/drawing/2014/chart" uri="{C3380CC4-5D6E-409C-BE32-E72D297353CC}">
              <c16:uniqueId val="{00000000-AC26-4080-A209-405D3A52C5A8}"/>
            </c:ext>
          </c:extLst>
        </c:ser>
        <c:dLbls>
          <c:showLegendKey val="0"/>
          <c:showVal val="0"/>
          <c:showCatName val="0"/>
          <c:showSerName val="0"/>
          <c:showPercent val="0"/>
          <c:showBubbleSize val="0"/>
        </c:dLbls>
        <c:gapWidth val="115"/>
        <c:overlap val="-20"/>
        <c:axId val="868067983"/>
        <c:axId val="121309167"/>
      </c:barChart>
      <c:catAx>
        <c:axId val="86806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21309167"/>
        <c:crosses val="autoZero"/>
        <c:auto val="1"/>
        <c:lblAlgn val="ctr"/>
        <c:lblOffset val="100"/>
        <c:noMultiLvlLbl val="0"/>
      </c:catAx>
      <c:valAx>
        <c:axId val="12130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868067983"/>
        <c:crosses val="autoZero"/>
        <c:crossBetween val="between"/>
      </c:valAx>
      <c:spPr>
        <a:noFill/>
        <a:ln>
          <a:noFill/>
        </a:ln>
        <a:effectLst/>
      </c:spPr>
    </c:plotArea>
    <c:plotVisOnly val="1"/>
    <c:dispBlanksAs val="gap"/>
    <c:showDLblsOverMax val="0"/>
    <c:extLst/>
  </c:chart>
  <c:spPr>
    <a:solidFill>
      <a:srgbClr val="4472C4">
        <a:lumMod val="50000"/>
      </a:srgbClr>
    </a:solidFill>
    <a:ln>
      <a:gradFill>
        <a:gsLst>
          <a:gs pos="0">
            <a:schemeClr val="tx1">
              <a:lumMod val="75000"/>
              <a:lumOff val="2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[Excel_hack_dashboard.xlsx]Pivot Tables!PivotTable17</c:name>
    <c:fmtId val="21"/>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with units sold</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Tables'!$A$80:$A$88</c:f>
              <c:strCache>
                <c:ptCount val="8"/>
                <c:pt idx="0">
                  <c:v>Bakery</c:v>
                </c:pt>
                <c:pt idx="1">
                  <c:v>Beverages</c:v>
                </c:pt>
                <c:pt idx="2">
                  <c:v>Dairy &amp; Eggs</c:v>
                </c:pt>
                <c:pt idx="3">
                  <c:v>Fruits &amp; Vegetables</c:v>
                </c:pt>
                <c:pt idx="4">
                  <c:v>Household</c:v>
                </c:pt>
                <c:pt idx="5">
                  <c:v>Meat &amp; Seafood</c:v>
                </c:pt>
                <c:pt idx="6">
                  <c:v>Personal Care</c:v>
                </c:pt>
                <c:pt idx="7">
                  <c:v>Snacks &amp; Packaged</c:v>
                </c:pt>
              </c:strCache>
            </c:strRef>
          </c:cat>
          <c:val>
            <c:numRef>
              <c:f>'Pivot Tables'!$B$80:$B$88</c:f>
              <c:numCache>
                <c:formatCode>General</c:formatCode>
                <c:ptCount val="8"/>
                <c:pt idx="0">
                  <c:v>18927</c:v>
                </c:pt>
                <c:pt idx="1">
                  <c:v>41686</c:v>
                </c:pt>
                <c:pt idx="2">
                  <c:v>29841</c:v>
                </c:pt>
                <c:pt idx="3">
                  <c:v>37905</c:v>
                </c:pt>
                <c:pt idx="4">
                  <c:v>35482</c:v>
                </c:pt>
                <c:pt idx="5">
                  <c:v>18753</c:v>
                </c:pt>
                <c:pt idx="6">
                  <c:v>35973</c:v>
                </c:pt>
                <c:pt idx="7">
                  <c:v>41338</c:v>
                </c:pt>
              </c:numCache>
            </c:numRef>
          </c:val>
          <c:extLst>
            <c:ext xmlns:c16="http://schemas.microsoft.com/office/drawing/2014/chart" uri="{C3380CC4-5D6E-409C-BE32-E72D297353CC}">
              <c16:uniqueId val="{00000000-59A3-44E5-8790-3589EE5A77AD}"/>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rgbClr val="002060"/>
    </a:solidFill>
    <a:ln>
      <a:solidFill>
        <a:schemeClr val="accent1"/>
      </a:soli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Tables!PivotTable15</c:name>
    <c:fmtId val="10"/>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with gross revenue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Tables'!$E$63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Tables'!$D$64:$D$72</c:f>
              <c:strCache>
                <c:ptCount val="8"/>
                <c:pt idx="0">
                  <c:v>Bakery</c:v>
                </c:pt>
                <c:pt idx="1">
                  <c:v>Beverages</c:v>
                </c:pt>
                <c:pt idx="2">
                  <c:v>Dairy &amp; Eggs</c:v>
                </c:pt>
                <c:pt idx="3">
                  <c:v>Fruits &amp; Vegetables</c:v>
                </c:pt>
                <c:pt idx="4">
                  <c:v>Household</c:v>
                </c:pt>
                <c:pt idx="5">
                  <c:v>Meat &amp; Seafood</c:v>
                </c:pt>
                <c:pt idx="6">
                  <c:v>Personal Care</c:v>
                </c:pt>
                <c:pt idx="7">
                  <c:v>Snacks &amp; Packaged</c:v>
                </c:pt>
              </c:strCache>
            </c:strRef>
          </c:cat>
          <c:val>
            <c:numRef>
              <c:f>'Pivot Tables'!$E$64:$E$72</c:f>
              <c:numCache>
                <c:formatCode>General</c:formatCode>
                <c:ptCount val="8"/>
                <c:pt idx="0">
                  <c:v>1870350.97</c:v>
                </c:pt>
                <c:pt idx="1">
                  <c:v>4854223.38</c:v>
                </c:pt>
                <c:pt idx="2">
                  <c:v>3356071.65</c:v>
                </c:pt>
                <c:pt idx="3">
                  <c:v>4030632.17</c:v>
                </c:pt>
                <c:pt idx="4">
                  <c:v>3120649.67</c:v>
                </c:pt>
                <c:pt idx="5">
                  <c:v>2637268.4500000002</c:v>
                </c:pt>
                <c:pt idx="6">
                  <c:v>3797661.92</c:v>
                </c:pt>
                <c:pt idx="7">
                  <c:v>4828085.72</c:v>
                </c:pt>
              </c:numCache>
            </c:numRef>
          </c:val>
          <c:extLst>
            <c:ext xmlns:c16="http://schemas.microsoft.com/office/drawing/2014/chart" uri="{C3380CC4-5D6E-409C-BE32-E72D297353CC}">
              <c16:uniqueId val="{00000000-17FF-4553-9E0F-83EC875D3EF2}"/>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rgbClr val="002060"/>
    </a:solidFill>
    <a:ln>
      <a:solidFill>
        <a:schemeClr val="accent1"/>
      </a:soli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[Excel_hack_dashboard.xlsx]Pivot Tables!PivotTable16</c:name>
    <c:fmtId val="7"/>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with Profit Margin%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Tables'!$H$63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Tables'!$G$64:$G$72</c:f>
              <c:strCache>
                <c:ptCount val="8"/>
                <c:pt idx="0">
                  <c:v>Bakery</c:v>
                </c:pt>
                <c:pt idx="1">
                  <c:v>Beverages</c:v>
                </c:pt>
                <c:pt idx="2">
                  <c:v>Dairy &amp; Eggs</c:v>
                </c:pt>
                <c:pt idx="3">
                  <c:v>Fruits &amp; Vegetables</c:v>
                </c:pt>
                <c:pt idx="4">
                  <c:v>Household</c:v>
                </c:pt>
                <c:pt idx="5">
                  <c:v>Meat &amp; Seafood</c:v>
                </c:pt>
                <c:pt idx="6">
                  <c:v>Personal Care</c:v>
                </c:pt>
                <c:pt idx="7">
                  <c:v>Snacks &amp; Packaged</c:v>
                </c:pt>
              </c:strCache>
            </c:strRef>
          </c:cat>
          <c:val>
            <c:numRef>
              <c:f>'Pivot Tables'!$H$64:$H$72</c:f>
              <c:numCache>
                <c:formatCode>0%</c:formatCode>
                <c:ptCount val="8"/>
                <c:pt idx="0">
                  <c:v>0.17613749787292596</c:v>
                </c:pt>
                <c:pt idx="1">
                  <c:v>0.23599645099150754</c:v>
                </c:pt>
                <c:pt idx="2">
                  <c:v>0.16539542890867662</c:v>
                </c:pt>
                <c:pt idx="3">
                  <c:v>0.23482595783479793</c:v>
                </c:pt>
                <c:pt idx="4">
                  <c:v>0.38300171002533584</c:v>
                </c:pt>
                <c:pt idx="5">
                  <c:v>5.6008029823433399E-2</c:v>
                </c:pt>
                <c:pt idx="6">
                  <c:v>0.35314181679447654</c:v>
                </c:pt>
                <c:pt idx="7">
                  <c:v>0.39011700272794664</c:v>
                </c:pt>
              </c:numCache>
            </c:numRef>
          </c:val>
          <c:extLst>
            <c:ext xmlns:c16="http://schemas.microsoft.com/office/drawing/2014/chart" uri="{C3380CC4-5D6E-409C-BE32-E72D297353CC}">
              <c16:uniqueId val="{00000000-317E-4E1B-A661-D9035BEEC4B1}"/>
            </c:ext>
          </c:extLst>
        </c:ser>
        <c:dLbls>
          <c:showLegendKey val="0"/>
          <c:showVal val="0"/>
          <c:showCatName val="0"/>
          <c:showSerName val="0"/>
          <c:showPercent val="0"/>
          <c:showBubbleSize val="0"/>
        </c:dLbls>
        <c:gapWidth val="100"/>
        <c:overlap val="-24"/>
        <c:axId val="1686541183"/>
        <c:axId val="1583754703"/>
      </c:barChart>
      <c:catAx>
        <c:axId val="168654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583754703"/>
        <c:crosses val="autoZero"/>
        <c:auto val="1"/>
        <c:lblAlgn val="ctr"/>
        <c:lblOffset val="100"/>
        <c:noMultiLvlLbl val="0"/>
      </c:catAx>
      <c:valAx>
        <c:axId val="15837547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86541183"/>
        <c:crosses val="autoZero"/>
        <c:crossBetween val="between"/>
      </c:valAx>
      <c:spPr>
        <a:noFill/>
        <a:ln>
          <a:noFill/>
        </a:ln>
        <a:effectLst/>
      </c:spPr>
    </c:plotArea>
    <c:plotVisOnly val="1"/>
    <c:dispBlanksAs val="gap"/>
    <c:showDLblsOverMax val="0"/>
    <c:extLst/>
  </c:chart>
  <c:spPr>
    <a:solidFill>
      <a:srgbClr val="002060"/>
    </a:solidFill>
    <a:ln>
      <a:solidFill>
        <a:schemeClr val="accent1"/>
      </a:solid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114300</xdr:colOff>
      <xdr:row>4</xdr:row>
      <xdr:rowOff>69850</xdr:rowOff>
    </xdr:from>
    <xdr:ext cx="1261884" cy="264560"/>
    <xdr:sp macro="" textlink="">
      <xdr:nvSpPr>
        <xdr:cNvPr id="20" name="TextBox 19">
          <a:extLst>
            <a:ext uri="{FF2B5EF4-FFF2-40B4-BE49-F238E27FC236}">
              <a16:creationId xmlns:a16="http://schemas.microsoft.com/office/drawing/2014/main" id="{12550019-8B29-9283-C6EB-FFD8AC2D92BF}"/>
            </a:ext>
          </a:extLst>
        </xdr:cNvPr>
        <xdr:cNvSpPr txBox="1"/>
      </xdr:nvSpPr>
      <xdr:spPr>
        <a:xfrm>
          <a:off x="723900" y="806450"/>
          <a:ext cx="12618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Total</a:t>
          </a:r>
          <a:r>
            <a:rPr lang="en-IN" sz="1100" b="1" baseline="0"/>
            <a:t> Contribution</a:t>
          </a:r>
          <a:endParaRPr lang="en-IN" sz="1100" b="1"/>
        </a:p>
      </xdr:txBody>
    </xdr:sp>
    <xdr:clientData/>
  </xdr:oneCellAnchor>
  <xdr:twoCellAnchor>
    <xdr:from>
      <xdr:col>0</xdr:col>
      <xdr:colOff>412141</xdr:colOff>
      <xdr:row>2</xdr:row>
      <xdr:rowOff>121086</xdr:rowOff>
    </xdr:from>
    <xdr:to>
      <xdr:col>3</xdr:col>
      <xdr:colOff>478852</xdr:colOff>
      <xdr:row>13</xdr:row>
      <xdr:rowOff>124918</xdr:rowOff>
    </xdr:to>
    <xdr:sp macro="" textlink="vw_store_pnl!C14">
      <xdr:nvSpPr>
        <xdr:cNvPr id="22" name="Oval 21">
          <a:extLst>
            <a:ext uri="{FF2B5EF4-FFF2-40B4-BE49-F238E27FC236}">
              <a16:creationId xmlns:a16="http://schemas.microsoft.com/office/drawing/2014/main" id="{C13F77A6-F3B5-4C76-8CE2-7E4B68DF538E}"/>
            </a:ext>
          </a:extLst>
        </xdr:cNvPr>
        <xdr:cNvSpPr/>
      </xdr:nvSpPr>
      <xdr:spPr>
        <a:xfrm>
          <a:off x="412141" y="495840"/>
          <a:ext cx="1909252" cy="2148258"/>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5D72B59-BC19-4CC2-BC90-CDD17BBB6522}" type="TxLink">
            <a:rPr lang="en-US" sz="2000" b="1" i="0" u="none" strike="noStrike">
              <a:solidFill>
                <a:srgbClr val="000000"/>
              </a:solidFill>
              <a:latin typeface="Calibri"/>
              <a:ea typeface="Calibri"/>
              <a:cs typeface="Calibri"/>
            </a:rPr>
            <a:pPr algn="ctr"/>
            <a:t>52133</a:t>
          </a:fld>
          <a:endParaRPr lang="en-IN" sz="2000" b="1"/>
        </a:p>
      </xdr:txBody>
    </xdr:sp>
    <xdr:clientData/>
  </xdr:twoCellAnchor>
  <xdr:twoCellAnchor>
    <xdr:from>
      <xdr:col>8</xdr:col>
      <xdr:colOff>2869</xdr:colOff>
      <xdr:row>2</xdr:row>
      <xdr:rowOff>144775</xdr:rowOff>
    </xdr:from>
    <xdr:to>
      <xdr:col>11</xdr:col>
      <xdr:colOff>62458</xdr:colOff>
      <xdr:row>12</xdr:row>
      <xdr:rowOff>239426</xdr:rowOff>
    </xdr:to>
    <xdr:sp macro="" textlink="vw_store_pnl!E14">
      <xdr:nvSpPr>
        <xdr:cNvPr id="23" name="Oval 22">
          <a:extLst>
            <a:ext uri="{FF2B5EF4-FFF2-40B4-BE49-F238E27FC236}">
              <a16:creationId xmlns:a16="http://schemas.microsoft.com/office/drawing/2014/main" id="{7A139EA2-42AA-4B45-9209-8FCEDB84B7A9}"/>
            </a:ext>
          </a:extLst>
        </xdr:cNvPr>
        <xdr:cNvSpPr/>
      </xdr:nvSpPr>
      <xdr:spPr>
        <a:xfrm>
          <a:off x="4916312" y="519529"/>
          <a:ext cx="1902130" cy="1968422"/>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BA9530E-103C-4B82-92AD-7F8F41052395}" type="TxLink">
            <a:rPr lang="en-US" sz="2000" b="1" i="0" u="none" strike="noStrike">
              <a:solidFill>
                <a:srgbClr val="000000"/>
              </a:solidFill>
              <a:latin typeface="Calibri"/>
              <a:ea typeface="Calibri"/>
              <a:cs typeface="Calibri"/>
            </a:rPr>
            <a:pPr algn="ctr"/>
            <a:t>2.87CR</a:t>
          </a:fld>
          <a:endParaRPr lang="en-IN" sz="2000" b="1"/>
        </a:p>
      </xdr:txBody>
    </xdr:sp>
    <xdr:clientData/>
  </xdr:twoCellAnchor>
  <xdr:twoCellAnchor>
    <xdr:from>
      <xdr:col>11</xdr:col>
      <xdr:colOff>532945</xdr:colOff>
      <xdr:row>2</xdr:row>
      <xdr:rowOff>136072</xdr:rowOff>
    </xdr:from>
    <xdr:to>
      <xdr:col>14</xdr:col>
      <xdr:colOff>489262</xdr:colOff>
      <xdr:row>13</xdr:row>
      <xdr:rowOff>10410</xdr:rowOff>
    </xdr:to>
    <xdr:sp macro="" textlink="vw_category_perf!A13">
      <xdr:nvSpPr>
        <xdr:cNvPr id="24" name="Oval 23">
          <a:extLst>
            <a:ext uri="{FF2B5EF4-FFF2-40B4-BE49-F238E27FC236}">
              <a16:creationId xmlns:a16="http://schemas.microsoft.com/office/drawing/2014/main" id="{2E079EE8-82BC-4A08-9040-18AE91BC7DB0}"/>
            </a:ext>
          </a:extLst>
        </xdr:cNvPr>
        <xdr:cNvSpPr/>
      </xdr:nvSpPr>
      <xdr:spPr>
        <a:xfrm>
          <a:off x="7288929" y="510826"/>
          <a:ext cx="1798858" cy="2018764"/>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43B9DF7-62D6-4BCA-9A6B-1BB99087C62B}" type="TxLink">
            <a:rPr lang="en-US" sz="2400" b="1" i="0" u="none" strike="noStrike">
              <a:solidFill>
                <a:srgbClr val="000000"/>
              </a:solidFill>
              <a:latin typeface="Calibri"/>
              <a:ea typeface="Calibri"/>
              <a:cs typeface="Calibri"/>
            </a:rPr>
            <a:pPr algn="ctr"/>
            <a:t>8</a:t>
          </a:fld>
          <a:endParaRPr lang="en-IN" sz="2400" b="1"/>
        </a:p>
      </xdr:txBody>
    </xdr:sp>
    <xdr:clientData/>
  </xdr:twoCellAnchor>
  <xdr:twoCellAnchor>
    <xdr:from>
      <xdr:col>15</xdr:col>
      <xdr:colOff>346496</xdr:colOff>
      <xdr:row>2</xdr:row>
      <xdr:rowOff>181026</xdr:rowOff>
    </xdr:from>
    <xdr:to>
      <xdr:col>18</xdr:col>
      <xdr:colOff>301884</xdr:colOff>
      <xdr:row>13</xdr:row>
      <xdr:rowOff>135328</xdr:rowOff>
    </xdr:to>
    <xdr:sp macro="" textlink="vw_promo_impact!D9">
      <xdr:nvSpPr>
        <xdr:cNvPr id="25" name="Oval 24">
          <a:extLst>
            <a:ext uri="{FF2B5EF4-FFF2-40B4-BE49-F238E27FC236}">
              <a16:creationId xmlns:a16="http://schemas.microsoft.com/office/drawing/2014/main" id="{EA06AA22-94D1-4AB8-B095-D3009C87276D}"/>
            </a:ext>
          </a:extLst>
        </xdr:cNvPr>
        <xdr:cNvSpPr/>
      </xdr:nvSpPr>
      <xdr:spPr>
        <a:xfrm>
          <a:off x="9559201" y="555780"/>
          <a:ext cx="1797929" cy="2098728"/>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604B26B-6632-415B-A41E-5FFB1DE0EED5}" type="TxLink">
            <a:rPr lang="en-US" sz="1800" b="1" i="0" u="none" strike="noStrike">
              <a:solidFill>
                <a:srgbClr val="000000"/>
              </a:solidFill>
              <a:latin typeface="Calibri"/>
              <a:ea typeface="Calibri"/>
              <a:cs typeface="Calibri"/>
            </a:rPr>
            <a:pPr algn="ctr"/>
            <a:t>15.64 L</a:t>
          </a:fld>
          <a:endParaRPr lang="en-IN" sz="1800" b="1"/>
        </a:p>
      </xdr:txBody>
    </xdr:sp>
    <xdr:clientData/>
  </xdr:twoCellAnchor>
  <xdr:twoCellAnchor>
    <xdr:from>
      <xdr:col>19</xdr:col>
      <xdr:colOff>230503</xdr:colOff>
      <xdr:row>3</xdr:row>
      <xdr:rowOff>0</xdr:rowOff>
    </xdr:from>
    <xdr:to>
      <xdr:col>22</xdr:col>
      <xdr:colOff>135327</xdr:colOff>
      <xdr:row>13</xdr:row>
      <xdr:rowOff>41640</xdr:rowOff>
    </xdr:to>
    <xdr:sp macro="" textlink="vw_delivery_perf!B15">
      <xdr:nvSpPr>
        <xdr:cNvPr id="26" name="Oval 25">
          <a:extLst>
            <a:ext uri="{FF2B5EF4-FFF2-40B4-BE49-F238E27FC236}">
              <a16:creationId xmlns:a16="http://schemas.microsoft.com/office/drawing/2014/main" id="{045A12E2-A6BD-4592-A219-FD13F37DA7FD}"/>
            </a:ext>
          </a:extLst>
        </xdr:cNvPr>
        <xdr:cNvSpPr/>
      </xdr:nvSpPr>
      <xdr:spPr>
        <a:xfrm>
          <a:off x="11899929" y="562131"/>
          <a:ext cx="1747365" cy="1998689"/>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441FF23-C891-45A7-B2D8-2FE393237F16}" type="TxLink">
            <a:rPr lang="en-US" sz="2000" b="1" i="0" u="none" strike="noStrike">
              <a:solidFill>
                <a:srgbClr val="000000"/>
              </a:solidFill>
              <a:latin typeface="Calibri"/>
              <a:ea typeface="Calibri"/>
              <a:cs typeface="Calibri"/>
            </a:rPr>
            <a:pPr algn="ctr"/>
            <a:t>10</a:t>
          </a:fld>
          <a:endParaRPr lang="en-IN" sz="2000" b="1"/>
        </a:p>
      </xdr:txBody>
    </xdr:sp>
    <xdr:clientData/>
  </xdr:twoCellAnchor>
  <xdr:twoCellAnchor>
    <xdr:from>
      <xdr:col>4</xdr:col>
      <xdr:colOff>155821</xdr:colOff>
      <xdr:row>2</xdr:row>
      <xdr:rowOff>147877</xdr:rowOff>
    </xdr:from>
    <xdr:to>
      <xdr:col>7</xdr:col>
      <xdr:colOff>135328</xdr:colOff>
      <xdr:row>13</xdr:row>
      <xdr:rowOff>62459</xdr:rowOff>
    </xdr:to>
    <xdr:sp macro="" textlink="vw_delivery_perf!F2">
      <xdr:nvSpPr>
        <xdr:cNvPr id="29" name="Oval 28">
          <a:extLst>
            <a:ext uri="{FF2B5EF4-FFF2-40B4-BE49-F238E27FC236}">
              <a16:creationId xmlns:a16="http://schemas.microsoft.com/office/drawing/2014/main" id="{3B4B197B-5E9A-4BD0-BEF1-564D2D80AECD}"/>
            </a:ext>
          </a:extLst>
        </xdr:cNvPr>
        <xdr:cNvSpPr/>
      </xdr:nvSpPr>
      <xdr:spPr>
        <a:xfrm>
          <a:off x="2612542" y="522631"/>
          <a:ext cx="1822048" cy="2059008"/>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0D417F9-0CE7-46D5-BCB9-4DAF939F587C}" type="TxLink">
            <a:rPr lang="en-US" sz="2000" b="1" i="0" u="none" strike="noStrike">
              <a:solidFill>
                <a:srgbClr val="000000"/>
              </a:solidFill>
              <a:latin typeface="Calibri"/>
              <a:ea typeface="Calibri"/>
              <a:cs typeface="Calibri"/>
            </a:rPr>
            <a:pPr algn="ctr"/>
            <a:t>54.165%</a:t>
          </a:fld>
          <a:endParaRPr lang="en-US" sz="2000"/>
        </a:p>
      </xdr:txBody>
    </xdr:sp>
    <xdr:clientData/>
  </xdr:twoCellAnchor>
  <xdr:oneCellAnchor>
    <xdr:from>
      <xdr:col>0</xdr:col>
      <xdr:colOff>591007</xdr:colOff>
      <xdr:row>5</xdr:row>
      <xdr:rowOff>46740</xdr:rowOff>
    </xdr:from>
    <xdr:ext cx="1649491" cy="405432"/>
    <xdr:sp macro="" textlink="">
      <xdr:nvSpPr>
        <xdr:cNvPr id="30" name="TextBox 29">
          <a:extLst>
            <a:ext uri="{FF2B5EF4-FFF2-40B4-BE49-F238E27FC236}">
              <a16:creationId xmlns:a16="http://schemas.microsoft.com/office/drawing/2014/main" id="{EA5A8BD3-8A0D-CBEE-D25C-31FC15C4F98C}"/>
            </a:ext>
          </a:extLst>
        </xdr:cNvPr>
        <xdr:cNvSpPr txBox="1"/>
      </xdr:nvSpPr>
      <xdr:spPr>
        <a:xfrm>
          <a:off x="591007" y="983625"/>
          <a:ext cx="164949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i="1">
              <a:solidFill>
                <a:srgbClr val="FF0000"/>
              </a:solidFill>
            </a:rPr>
            <a:t>T</a:t>
          </a:r>
          <a:r>
            <a:rPr lang="en-IN" sz="1800" b="1" i="1">
              <a:solidFill>
                <a:srgbClr val="FF0000"/>
              </a:solidFill>
            </a:rPr>
            <a:t>OTAL</a:t>
          </a:r>
          <a:r>
            <a:rPr lang="en-IN" sz="1800" b="1" i="1" baseline="0">
              <a:solidFill>
                <a:srgbClr val="FF0000"/>
              </a:solidFill>
            </a:rPr>
            <a:t> ORDERS</a:t>
          </a:r>
          <a:endParaRPr lang="en-IN" sz="1800" b="1" i="1">
            <a:solidFill>
              <a:srgbClr val="FF0000"/>
            </a:solidFill>
          </a:endParaRPr>
        </a:p>
      </xdr:txBody>
    </xdr:sp>
    <xdr:clientData/>
  </xdr:oneCellAnchor>
  <xdr:oneCellAnchor>
    <xdr:from>
      <xdr:col>4</xdr:col>
      <xdr:colOff>343202</xdr:colOff>
      <xdr:row>4</xdr:row>
      <xdr:rowOff>89580</xdr:rowOff>
    </xdr:from>
    <xdr:ext cx="1447704" cy="937757"/>
    <xdr:sp macro="" textlink="">
      <xdr:nvSpPr>
        <xdr:cNvPr id="31" name="TextBox 30">
          <a:extLst>
            <a:ext uri="{FF2B5EF4-FFF2-40B4-BE49-F238E27FC236}">
              <a16:creationId xmlns:a16="http://schemas.microsoft.com/office/drawing/2014/main" id="{81E0BC44-4734-470B-B8C4-8F7DC1B62852}"/>
            </a:ext>
          </a:extLst>
        </xdr:cNvPr>
        <xdr:cNvSpPr txBox="1"/>
      </xdr:nvSpPr>
      <xdr:spPr>
        <a:xfrm>
          <a:off x="2799923" y="839088"/>
          <a:ext cx="1447704"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i="1">
              <a:solidFill>
                <a:srgbClr val="FF0000"/>
              </a:solidFill>
            </a:rPr>
            <a:t>ON_TIME </a:t>
          </a:r>
        </a:p>
        <a:p>
          <a:r>
            <a:rPr lang="en-IN" sz="1800" b="1" i="1">
              <a:solidFill>
                <a:srgbClr val="FF0000"/>
              </a:solidFill>
            </a:rPr>
            <a:t>DELIVERY </a:t>
          </a:r>
        </a:p>
        <a:p>
          <a:r>
            <a:rPr lang="en-IN" sz="1800" b="1" i="1">
              <a:solidFill>
                <a:srgbClr val="FF0000"/>
              </a:solidFill>
            </a:rPr>
            <a:t>PERCENTAGE</a:t>
          </a:r>
        </a:p>
      </xdr:txBody>
    </xdr:sp>
    <xdr:clientData/>
  </xdr:oneCellAnchor>
  <xdr:oneCellAnchor>
    <xdr:from>
      <xdr:col>8</xdr:col>
      <xdr:colOff>194806</xdr:colOff>
      <xdr:row>4</xdr:row>
      <xdr:rowOff>48445</xdr:rowOff>
    </xdr:from>
    <xdr:ext cx="1555426" cy="655949"/>
    <xdr:sp macro="" textlink="">
      <xdr:nvSpPr>
        <xdr:cNvPr id="32" name="TextBox 31">
          <a:extLst>
            <a:ext uri="{FF2B5EF4-FFF2-40B4-BE49-F238E27FC236}">
              <a16:creationId xmlns:a16="http://schemas.microsoft.com/office/drawing/2014/main" id="{424ABE11-3D67-437B-B827-D353167862A6}"/>
            </a:ext>
          </a:extLst>
        </xdr:cNvPr>
        <xdr:cNvSpPr txBox="1"/>
      </xdr:nvSpPr>
      <xdr:spPr>
        <a:xfrm>
          <a:off x="5108249" y="797953"/>
          <a:ext cx="1555426"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i="1">
              <a:solidFill>
                <a:srgbClr val="FF0000"/>
              </a:solidFill>
            </a:rPr>
            <a:t>TOTAL GROSS </a:t>
          </a:r>
        </a:p>
        <a:p>
          <a:r>
            <a:rPr lang="en-IN" sz="1800" b="1" i="1" baseline="0">
              <a:solidFill>
                <a:srgbClr val="FF0000"/>
              </a:solidFill>
            </a:rPr>
            <a:t>  REVENUE</a:t>
          </a:r>
          <a:endParaRPr lang="en-IN" sz="1800" b="1" i="1">
            <a:solidFill>
              <a:srgbClr val="FF0000"/>
            </a:solidFill>
          </a:endParaRPr>
        </a:p>
      </xdr:txBody>
    </xdr:sp>
    <xdr:clientData/>
  </xdr:oneCellAnchor>
  <xdr:twoCellAnchor>
    <xdr:from>
      <xdr:col>0</xdr:col>
      <xdr:colOff>214616</xdr:colOff>
      <xdr:row>20</xdr:row>
      <xdr:rowOff>101551</xdr:rowOff>
    </xdr:from>
    <xdr:to>
      <xdr:col>9</xdr:col>
      <xdr:colOff>96213</xdr:colOff>
      <xdr:row>39</xdr:row>
      <xdr:rowOff>57727</xdr:rowOff>
    </xdr:to>
    <xdr:graphicFrame macro="">
      <xdr:nvGraphicFramePr>
        <xdr:cNvPr id="4" name="Chart 3">
          <a:extLst>
            <a:ext uri="{FF2B5EF4-FFF2-40B4-BE49-F238E27FC236}">
              <a16:creationId xmlns:a16="http://schemas.microsoft.com/office/drawing/2014/main" id="{4FAECD9D-55CB-40A5-8052-0C55EED84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134696</xdr:colOff>
      <xdr:row>20</xdr:row>
      <xdr:rowOff>103734</xdr:rowOff>
    </xdr:from>
    <xdr:to>
      <xdr:col>18</xdr:col>
      <xdr:colOff>38483</xdr:colOff>
      <xdr:row>39</xdr:row>
      <xdr:rowOff>28862</xdr:rowOff>
    </xdr:to>
    <xdr:graphicFrame macro="">
      <xdr:nvGraphicFramePr>
        <xdr:cNvPr id="5" name="Chart 4">
          <a:extLst>
            <a:ext uri="{FF2B5EF4-FFF2-40B4-BE49-F238E27FC236}">
              <a16:creationId xmlns:a16="http://schemas.microsoft.com/office/drawing/2014/main" id="{C9D16C79-F350-45BB-8CDA-F4CD9D87C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154943</xdr:colOff>
      <xdr:row>39</xdr:row>
      <xdr:rowOff>61269</xdr:rowOff>
    </xdr:from>
    <xdr:to>
      <xdr:col>18</xdr:col>
      <xdr:colOff>28855</xdr:colOff>
      <xdr:row>57</xdr:row>
      <xdr:rowOff>173179</xdr:rowOff>
    </xdr:to>
    <xdr:graphicFrame macro="">
      <xdr:nvGraphicFramePr>
        <xdr:cNvPr id="7" name="Chart 6">
          <a:extLst>
            <a:ext uri="{FF2B5EF4-FFF2-40B4-BE49-F238E27FC236}">
              <a16:creationId xmlns:a16="http://schemas.microsoft.com/office/drawing/2014/main" id="{265A7CD3-D270-45AC-A1CE-B96565000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279026</xdr:colOff>
      <xdr:row>58</xdr:row>
      <xdr:rowOff>67342</xdr:rowOff>
    </xdr:from>
    <xdr:to>
      <xdr:col>9</xdr:col>
      <xdr:colOff>182814</xdr:colOff>
      <xdr:row>76</xdr:row>
      <xdr:rowOff>153933</xdr:rowOff>
    </xdr:to>
    <xdr:graphicFrame macro="">
      <xdr:nvGraphicFramePr>
        <xdr:cNvPr id="9" name="Chart 8">
          <a:extLst>
            <a:ext uri="{FF2B5EF4-FFF2-40B4-BE49-F238E27FC236}">
              <a16:creationId xmlns:a16="http://schemas.microsoft.com/office/drawing/2014/main" id="{2ABD2692-6C34-4C6A-95C1-30E6B9787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285542</xdr:colOff>
      <xdr:row>39</xdr:row>
      <xdr:rowOff>79435</xdr:rowOff>
    </xdr:from>
    <xdr:to>
      <xdr:col>9</xdr:col>
      <xdr:colOff>134696</xdr:colOff>
      <xdr:row>58</xdr:row>
      <xdr:rowOff>28855</xdr:rowOff>
    </xdr:to>
    <xdr:graphicFrame macro="">
      <xdr:nvGraphicFramePr>
        <xdr:cNvPr id="11" name="Chart 10">
          <a:extLst>
            <a:ext uri="{FF2B5EF4-FFF2-40B4-BE49-F238E27FC236}">
              <a16:creationId xmlns:a16="http://schemas.microsoft.com/office/drawing/2014/main" id="{4D7E02E9-CEAD-47BB-A647-7F58DE39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90201</xdr:colOff>
      <xdr:row>20</xdr:row>
      <xdr:rowOff>142230</xdr:rowOff>
    </xdr:from>
    <xdr:to>
      <xdr:col>25</xdr:col>
      <xdr:colOff>375280</xdr:colOff>
      <xdr:row>57</xdr:row>
      <xdr:rowOff>162442</xdr:rowOff>
    </xdr:to>
    <xdr:graphicFrame macro="">
      <xdr:nvGraphicFramePr>
        <xdr:cNvPr id="15" name="Chart 14">
          <a:extLst>
            <a:ext uri="{FF2B5EF4-FFF2-40B4-BE49-F238E27FC236}">
              <a16:creationId xmlns:a16="http://schemas.microsoft.com/office/drawing/2014/main" id="{CB95BE14-56EC-46C9-AFD5-1C0E244C9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85288</xdr:colOff>
      <xdr:row>136</xdr:row>
      <xdr:rowOff>136848</xdr:rowOff>
    </xdr:from>
    <xdr:to>
      <xdr:col>6</xdr:col>
      <xdr:colOff>578303</xdr:colOff>
      <xdr:row>175</xdr:row>
      <xdr:rowOff>124732</xdr:rowOff>
    </xdr:to>
    <xdr:graphicFrame macro="">
      <xdr:nvGraphicFramePr>
        <xdr:cNvPr id="16" name="Chart 15">
          <a:extLst>
            <a:ext uri="{FF2B5EF4-FFF2-40B4-BE49-F238E27FC236}">
              <a16:creationId xmlns:a16="http://schemas.microsoft.com/office/drawing/2014/main" id="{FD9554C4-41A1-412C-B192-A225FB162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602808</xdr:colOff>
      <xdr:row>136</xdr:row>
      <xdr:rowOff>137862</xdr:rowOff>
    </xdr:from>
    <xdr:to>
      <xdr:col>13</xdr:col>
      <xdr:colOff>544285</xdr:colOff>
      <xdr:row>175</xdr:row>
      <xdr:rowOff>102054</xdr:rowOff>
    </xdr:to>
    <xdr:graphicFrame macro="">
      <xdr:nvGraphicFramePr>
        <xdr:cNvPr id="17" name="Chart 16">
          <a:extLst>
            <a:ext uri="{FF2B5EF4-FFF2-40B4-BE49-F238E27FC236}">
              <a16:creationId xmlns:a16="http://schemas.microsoft.com/office/drawing/2014/main" id="{FC246277-6AAF-48A4-A1AD-F92364D09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565356</xdr:colOff>
      <xdr:row>136</xdr:row>
      <xdr:rowOff>111077</xdr:rowOff>
    </xdr:from>
    <xdr:to>
      <xdr:col>20</xdr:col>
      <xdr:colOff>238126</xdr:colOff>
      <xdr:row>175</xdr:row>
      <xdr:rowOff>147410</xdr:rowOff>
    </xdr:to>
    <xdr:graphicFrame macro="">
      <xdr:nvGraphicFramePr>
        <xdr:cNvPr id="18" name="Chart 17">
          <a:extLst>
            <a:ext uri="{FF2B5EF4-FFF2-40B4-BE49-F238E27FC236}">
              <a16:creationId xmlns:a16="http://schemas.microsoft.com/office/drawing/2014/main" id="{500879FA-55E3-490C-9D61-BD6865B61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260959</xdr:colOff>
      <xdr:row>14</xdr:row>
      <xdr:rowOff>43493</xdr:rowOff>
    </xdr:from>
    <xdr:ext cx="3302443" cy="640240"/>
    <xdr:sp macro="" textlink="">
      <xdr:nvSpPr>
        <xdr:cNvPr id="19" name="TextBox 18">
          <a:extLst>
            <a:ext uri="{FF2B5EF4-FFF2-40B4-BE49-F238E27FC236}">
              <a16:creationId xmlns:a16="http://schemas.microsoft.com/office/drawing/2014/main" id="{A63092B4-24F2-7A4F-ED3D-E990A16C7445}"/>
            </a:ext>
          </a:extLst>
        </xdr:cNvPr>
        <xdr:cNvSpPr txBox="1"/>
      </xdr:nvSpPr>
      <xdr:spPr>
        <a:xfrm>
          <a:off x="5741096" y="2687877"/>
          <a:ext cx="3302443"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500" b="1" i="0">
              <a:solidFill>
                <a:schemeClr val="accent5">
                  <a:lumMod val="20000"/>
                  <a:lumOff val="80000"/>
                </a:schemeClr>
              </a:solidFill>
            </a:rPr>
            <a:t>STORE</a:t>
          </a:r>
          <a:r>
            <a:rPr lang="en-IN" sz="3500" b="1" i="0" baseline="0">
              <a:solidFill>
                <a:schemeClr val="accent5">
                  <a:lumMod val="20000"/>
                  <a:lumOff val="80000"/>
                </a:schemeClr>
              </a:solidFill>
            </a:rPr>
            <a:t> ANALYSIS</a:t>
          </a:r>
          <a:endParaRPr lang="en-IN" sz="3500" b="1" i="0">
            <a:solidFill>
              <a:schemeClr val="accent5">
                <a:lumMod val="20000"/>
                <a:lumOff val="80000"/>
              </a:schemeClr>
            </a:solidFill>
          </a:endParaRPr>
        </a:p>
      </xdr:txBody>
    </xdr:sp>
    <xdr:clientData/>
  </xdr:oneCellAnchor>
  <xdr:oneCellAnchor>
    <xdr:from>
      <xdr:col>12</xdr:col>
      <xdr:colOff>211085</xdr:colOff>
      <xdr:row>4</xdr:row>
      <xdr:rowOff>106038</xdr:rowOff>
    </xdr:from>
    <xdr:ext cx="1902111" cy="655949"/>
    <xdr:sp macro="" textlink="">
      <xdr:nvSpPr>
        <xdr:cNvPr id="21" name="TextBox 20">
          <a:extLst>
            <a:ext uri="{FF2B5EF4-FFF2-40B4-BE49-F238E27FC236}">
              <a16:creationId xmlns:a16="http://schemas.microsoft.com/office/drawing/2014/main" id="{19C829B1-6B43-46F2-A80F-D1430D05DC61}"/>
            </a:ext>
          </a:extLst>
        </xdr:cNvPr>
        <xdr:cNvSpPr txBox="1"/>
      </xdr:nvSpPr>
      <xdr:spPr>
        <a:xfrm>
          <a:off x="7581249" y="855546"/>
          <a:ext cx="190211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i="1">
              <a:solidFill>
                <a:srgbClr val="FF0000"/>
              </a:solidFill>
            </a:rPr>
            <a:t>TOTAL</a:t>
          </a:r>
          <a:r>
            <a:rPr lang="en-IN" sz="1800" b="1" i="1" baseline="0">
              <a:solidFill>
                <a:srgbClr val="FF0000"/>
              </a:solidFill>
            </a:rPr>
            <a:t> </a:t>
          </a:r>
        </a:p>
        <a:p>
          <a:r>
            <a:rPr lang="en-IN" sz="1800" b="1" i="1" baseline="0">
              <a:solidFill>
                <a:srgbClr val="FF0000"/>
              </a:solidFill>
            </a:rPr>
            <a:t>CATEGORY</a:t>
          </a:r>
          <a:endParaRPr lang="en-IN" sz="1800" b="1" i="1">
            <a:solidFill>
              <a:srgbClr val="FF0000"/>
            </a:solidFill>
          </a:endParaRPr>
        </a:p>
      </xdr:txBody>
    </xdr:sp>
    <xdr:clientData/>
  </xdr:oneCellAnchor>
  <xdr:oneCellAnchor>
    <xdr:from>
      <xdr:col>15</xdr:col>
      <xdr:colOff>365690</xdr:colOff>
      <xdr:row>5</xdr:row>
      <xdr:rowOff>107022</xdr:rowOff>
    </xdr:from>
    <xdr:ext cx="1779077" cy="655949"/>
    <xdr:sp macro="" textlink="">
      <xdr:nvSpPr>
        <xdr:cNvPr id="27" name="TextBox 26">
          <a:extLst>
            <a:ext uri="{FF2B5EF4-FFF2-40B4-BE49-F238E27FC236}">
              <a16:creationId xmlns:a16="http://schemas.microsoft.com/office/drawing/2014/main" id="{2DDAB319-4468-43E1-8DA6-F4E9EB2AC02F}"/>
            </a:ext>
          </a:extLst>
        </xdr:cNvPr>
        <xdr:cNvSpPr txBox="1"/>
      </xdr:nvSpPr>
      <xdr:spPr>
        <a:xfrm>
          <a:off x="9578395" y="1043907"/>
          <a:ext cx="1779077"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i="1">
              <a:solidFill>
                <a:srgbClr val="FF0000"/>
              </a:solidFill>
            </a:rPr>
            <a:t>AVG. DISCOUNT </a:t>
          </a:r>
        </a:p>
        <a:p>
          <a:r>
            <a:rPr lang="en-IN" sz="1800" b="1" i="1">
              <a:solidFill>
                <a:srgbClr val="FF0000"/>
              </a:solidFill>
            </a:rPr>
            <a:t>         COSTV</a:t>
          </a:r>
        </a:p>
      </xdr:txBody>
    </xdr:sp>
    <xdr:clientData/>
  </xdr:oneCellAnchor>
  <xdr:oneCellAnchor>
    <xdr:from>
      <xdr:col>20</xdr:col>
      <xdr:colOff>3554</xdr:colOff>
      <xdr:row>5</xdr:row>
      <xdr:rowOff>62896</xdr:rowOff>
    </xdr:from>
    <xdr:ext cx="991233" cy="718530"/>
    <xdr:sp macro="" textlink="">
      <xdr:nvSpPr>
        <xdr:cNvPr id="28" name="TextBox 27">
          <a:extLst>
            <a:ext uri="{FF2B5EF4-FFF2-40B4-BE49-F238E27FC236}">
              <a16:creationId xmlns:a16="http://schemas.microsoft.com/office/drawing/2014/main" id="{60CCE7D4-A7F3-4C55-9BA3-8B4D630E1324}"/>
            </a:ext>
          </a:extLst>
        </xdr:cNvPr>
        <xdr:cNvSpPr txBox="1"/>
      </xdr:nvSpPr>
      <xdr:spPr>
        <a:xfrm>
          <a:off x="12287161" y="999781"/>
          <a:ext cx="991233"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i="1">
              <a:solidFill>
                <a:srgbClr val="FF0000"/>
              </a:solidFill>
            </a:rPr>
            <a:t>TOTAL</a:t>
          </a:r>
          <a:r>
            <a:rPr lang="en-IN" sz="2000" b="1" i="1" baseline="0">
              <a:solidFill>
                <a:srgbClr val="FF0000"/>
              </a:solidFill>
            </a:rPr>
            <a:t> </a:t>
          </a:r>
        </a:p>
        <a:p>
          <a:r>
            <a:rPr lang="en-IN" sz="2000" b="1" i="1" baseline="0">
              <a:solidFill>
                <a:srgbClr val="FF0000"/>
              </a:solidFill>
            </a:rPr>
            <a:t>STORES</a:t>
          </a:r>
          <a:endParaRPr lang="en-IN" sz="2000" b="1" i="1">
            <a:solidFill>
              <a:srgbClr val="FF0000"/>
            </a:solidFill>
          </a:endParaRPr>
        </a:p>
      </xdr:txBody>
    </xdr:sp>
    <xdr:clientData/>
  </xdr:oneCellAnchor>
  <xdr:twoCellAnchor editAs="oneCell">
    <xdr:from>
      <xdr:col>9</xdr:col>
      <xdr:colOff>206748</xdr:colOff>
      <xdr:row>58</xdr:row>
      <xdr:rowOff>29536</xdr:rowOff>
    </xdr:from>
    <xdr:to>
      <xdr:col>25</xdr:col>
      <xdr:colOff>383953</xdr:colOff>
      <xdr:row>76</xdr:row>
      <xdr:rowOff>118139</xdr:rowOff>
    </xdr:to>
    <mc:AlternateContent xmlns:mc="http://schemas.openxmlformats.org/markup-compatibility/2006" xmlns:a14="http://schemas.microsoft.com/office/drawing/2010/main">
      <mc:Choice Requires="a14">
        <xdr:graphicFrame macro="">
          <xdr:nvGraphicFramePr>
            <xdr:cNvPr id="34" name="store_id">
              <a:extLst>
                <a:ext uri="{FF2B5EF4-FFF2-40B4-BE49-F238E27FC236}">
                  <a16:creationId xmlns:a16="http://schemas.microsoft.com/office/drawing/2014/main" id="{C5E9EC7A-7146-408A-9B11-1B0EE7B8082B}"/>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5734371" y="10980684"/>
              <a:ext cx="10004090" cy="3461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0</xdr:colOff>
      <xdr:row>83</xdr:row>
      <xdr:rowOff>0</xdr:rowOff>
    </xdr:from>
    <xdr:ext cx="4119013" cy="640240"/>
    <xdr:sp macro="" textlink="">
      <xdr:nvSpPr>
        <xdr:cNvPr id="35" name="TextBox 34">
          <a:extLst>
            <a:ext uri="{FF2B5EF4-FFF2-40B4-BE49-F238E27FC236}">
              <a16:creationId xmlns:a16="http://schemas.microsoft.com/office/drawing/2014/main" id="{4EF283E6-C01A-4B70-853B-05D89BC747FC}"/>
            </a:ext>
          </a:extLst>
        </xdr:cNvPr>
        <xdr:cNvSpPr txBox="1"/>
      </xdr:nvSpPr>
      <xdr:spPr>
        <a:xfrm>
          <a:off x="6735536" y="15149286"/>
          <a:ext cx="4119013"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500" b="1" i="0">
              <a:solidFill>
                <a:schemeClr val="accent5">
                  <a:lumMod val="20000"/>
                  <a:lumOff val="80000"/>
                </a:schemeClr>
              </a:solidFill>
            </a:rPr>
            <a:t>CATEGORY</a:t>
          </a:r>
          <a:r>
            <a:rPr lang="en-IN" sz="3500" b="1" i="0" baseline="0">
              <a:solidFill>
                <a:schemeClr val="accent5">
                  <a:lumMod val="20000"/>
                  <a:lumOff val="80000"/>
                </a:schemeClr>
              </a:solidFill>
            </a:rPr>
            <a:t> ANALYSIS</a:t>
          </a:r>
          <a:endParaRPr lang="en-IN" sz="3500" b="1" i="0">
            <a:solidFill>
              <a:schemeClr val="accent5">
                <a:lumMod val="20000"/>
                <a:lumOff val="80000"/>
              </a:schemeClr>
            </a:solidFill>
          </a:endParaRPr>
        </a:p>
      </xdr:txBody>
    </xdr:sp>
    <xdr:clientData/>
  </xdr:oneCellAnchor>
  <xdr:twoCellAnchor>
    <xdr:from>
      <xdr:col>0</xdr:col>
      <xdr:colOff>170092</xdr:colOff>
      <xdr:row>87</xdr:row>
      <xdr:rowOff>147410</xdr:rowOff>
    </xdr:from>
    <xdr:to>
      <xdr:col>7</xdr:col>
      <xdr:colOff>204108</xdr:colOff>
      <xdr:row>124</xdr:row>
      <xdr:rowOff>18615</xdr:rowOff>
    </xdr:to>
    <xdr:graphicFrame macro="">
      <xdr:nvGraphicFramePr>
        <xdr:cNvPr id="39" name="Chart 38">
          <a:extLst>
            <a:ext uri="{FF2B5EF4-FFF2-40B4-BE49-F238E27FC236}">
              <a16:creationId xmlns:a16="http://schemas.microsoft.com/office/drawing/2014/main" id="{69C99CE5-D136-4E59-A3C8-ABAAE189A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226798</xdr:colOff>
      <xdr:row>87</xdr:row>
      <xdr:rowOff>170089</xdr:rowOff>
    </xdr:from>
    <xdr:to>
      <xdr:col>14</xdr:col>
      <xdr:colOff>328840</xdr:colOff>
      <xdr:row>124</xdr:row>
      <xdr:rowOff>34017</xdr:rowOff>
    </xdr:to>
    <xdr:graphicFrame macro="">
      <xdr:nvGraphicFramePr>
        <xdr:cNvPr id="40" name="Chart 39">
          <a:extLst>
            <a:ext uri="{FF2B5EF4-FFF2-40B4-BE49-F238E27FC236}">
              <a16:creationId xmlns:a16="http://schemas.microsoft.com/office/drawing/2014/main" id="{6717061D-30BB-4038-9865-D80E54F8D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362857</xdr:colOff>
      <xdr:row>88</xdr:row>
      <xdr:rowOff>11337</xdr:rowOff>
    </xdr:from>
    <xdr:to>
      <xdr:col>21</xdr:col>
      <xdr:colOff>430893</xdr:colOff>
      <xdr:row>124</xdr:row>
      <xdr:rowOff>45356</xdr:rowOff>
    </xdr:to>
    <xdr:graphicFrame macro="">
      <xdr:nvGraphicFramePr>
        <xdr:cNvPr id="41" name="Chart 40">
          <a:extLst>
            <a:ext uri="{FF2B5EF4-FFF2-40B4-BE49-F238E27FC236}">
              <a16:creationId xmlns:a16="http://schemas.microsoft.com/office/drawing/2014/main" id="{896B4AF4-E721-441B-8691-5BD485E0F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21</xdr:col>
      <xdr:colOff>453572</xdr:colOff>
      <xdr:row>88</xdr:row>
      <xdr:rowOff>22678</xdr:rowOff>
    </xdr:from>
    <xdr:to>
      <xdr:col>25</xdr:col>
      <xdr:colOff>558801</xdr:colOff>
      <xdr:row>124</xdr:row>
      <xdr:rowOff>45357</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960751A5-9283-4FE9-8FC9-CA6235F98B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51359" y="16595137"/>
              <a:ext cx="2561950" cy="6768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555627</xdr:colOff>
      <xdr:row>129</xdr:row>
      <xdr:rowOff>45356</xdr:rowOff>
    </xdr:from>
    <xdr:ext cx="4386072" cy="640240"/>
    <xdr:sp macro="" textlink="">
      <xdr:nvSpPr>
        <xdr:cNvPr id="43" name="TextBox 42">
          <a:extLst>
            <a:ext uri="{FF2B5EF4-FFF2-40B4-BE49-F238E27FC236}">
              <a16:creationId xmlns:a16="http://schemas.microsoft.com/office/drawing/2014/main" id="{17B4744A-F221-4543-81BA-A75EF5D23D46}"/>
            </a:ext>
          </a:extLst>
        </xdr:cNvPr>
        <xdr:cNvSpPr txBox="1"/>
      </xdr:nvSpPr>
      <xdr:spPr>
        <a:xfrm>
          <a:off x="6682820" y="24554128"/>
          <a:ext cx="4386072"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500" b="1" i="0">
              <a:solidFill>
                <a:schemeClr val="accent5">
                  <a:lumMod val="20000"/>
                  <a:lumOff val="80000"/>
                </a:schemeClr>
              </a:solidFill>
            </a:rPr>
            <a:t>Promo Code</a:t>
          </a:r>
          <a:r>
            <a:rPr lang="en-IN" sz="3500" b="1" i="0" baseline="0">
              <a:solidFill>
                <a:schemeClr val="accent5">
                  <a:lumMod val="20000"/>
                  <a:lumOff val="80000"/>
                </a:schemeClr>
              </a:solidFill>
            </a:rPr>
            <a:t> ANALYSIS</a:t>
          </a:r>
          <a:endParaRPr lang="en-IN" sz="3500" b="1" i="0">
            <a:solidFill>
              <a:schemeClr val="accent5">
                <a:lumMod val="20000"/>
                <a:lumOff val="80000"/>
              </a:schemeClr>
            </a:solidFill>
          </a:endParaRPr>
        </a:p>
      </xdr:txBody>
    </xdr:sp>
    <xdr:clientData/>
  </xdr:oneCellAnchor>
  <xdr:twoCellAnchor editAs="oneCell">
    <xdr:from>
      <xdr:col>20</xdr:col>
      <xdr:colOff>294820</xdr:colOff>
      <xdr:row>136</xdr:row>
      <xdr:rowOff>170089</xdr:rowOff>
    </xdr:from>
    <xdr:to>
      <xdr:col>26</xdr:col>
      <xdr:colOff>79375</xdr:colOff>
      <xdr:row>175</xdr:row>
      <xdr:rowOff>113393</xdr:rowOff>
    </xdr:to>
    <mc:AlternateContent xmlns:mc="http://schemas.openxmlformats.org/markup-compatibility/2006" xmlns:a14="http://schemas.microsoft.com/office/drawing/2010/main">
      <mc:Choice Requires="a14">
        <xdr:graphicFrame macro="">
          <xdr:nvGraphicFramePr>
            <xdr:cNvPr id="45" name="promo_code">
              <a:extLst>
                <a:ext uri="{FF2B5EF4-FFF2-40B4-BE49-F238E27FC236}">
                  <a16:creationId xmlns:a16="http://schemas.microsoft.com/office/drawing/2014/main" id="{6FBE3FAD-FF23-465B-85C5-A9F28B803C2A}"/>
                </a:ext>
              </a:extLst>
            </xdr:cNvPr>
            <xdr:cNvGraphicFramePr/>
          </xdr:nvGraphicFramePr>
          <xdr:xfrm>
            <a:off x="0" y="0"/>
            <a:ext cx="0" cy="0"/>
          </xdr:xfrm>
          <a:graphic>
            <a:graphicData uri="http://schemas.microsoft.com/office/drawing/2010/slicer">
              <sle:slicer xmlns:sle="http://schemas.microsoft.com/office/drawing/2010/slicer" name="promo_code"/>
            </a:graphicData>
          </a:graphic>
        </xdr:graphicFrame>
      </mc:Choice>
      <mc:Fallback xmlns="">
        <xdr:sp macro="" textlink="">
          <xdr:nvSpPr>
            <xdr:cNvPr id="0" name=""/>
            <xdr:cNvSpPr>
              <a:spLocks noTextEdit="1"/>
            </xdr:cNvSpPr>
          </xdr:nvSpPr>
          <xdr:spPr>
            <a:xfrm>
              <a:off x="12578427" y="25736646"/>
              <a:ext cx="3469637" cy="7251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454097</xdr:colOff>
      <xdr:row>13</xdr:row>
      <xdr:rowOff>95250</xdr:rowOff>
    </xdr:from>
    <xdr:to>
      <xdr:col>48</xdr:col>
      <xdr:colOff>508000</xdr:colOff>
      <xdr:row>94</xdr:row>
      <xdr:rowOff>127000</xdr:rowOff>
    </xdr:to>
    <xdr:sp macro="" textlink="">
      <xdr:nvSpPr>
        <xdr:cNvPr id="47" name="Star: 12 Points 46">
          <a:extLst>
            <a:ext uri="{FF2B5EF4-FFF2-40B4-BE49-F238E27FC236}">
              <a16:creationId xmlns:a16="http://schemas.microsoft.com/office/drawing/2014/main" id="{BECF0D34-DC8B-FC28-9F77-E27E10D40B26}"/>
            </a:ext>
          </a:extLst>
        </xdr:cNvPr>
        <xdr:cNvSpPr/>
      </xdr:nvSpPr>
      <xdr:spPr>
        <a:xfrm>
          <a:off x="17345097" y="2651125"/>
          <a:ext cx="12118903" cy="15462250"/>
        </a:xfrm>
        <a:prstGeom prst="star12">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4000" b="1">
              <a:solidFill>
                <a:srgbClr val="00B050"/>
              </a:solidFill>
              <a:latin typeface="Algerian" panose="04020705040A02060702" pitchFamily="82" charset="0"/>
            </a:rPr>
            <a:t>INSIGHTS</a:t>
          </a:r>
          <a:r>
            <a:rPr lang="en-IN" sz="4000" b="1">
              <a:latin typeface="Algerian" panose="04020705040A02060702" pitchFamily="82" charset="0"/>
            </a:rPr>
            <a:t>:</a:t>
          </a:r>
        </a:p>
        <a:p>
          <a:pPr algn="l"/>
          <a:endParaRPr lang="en-IN" sz="4000" b="1">
            <a:latin typeface="Algerian" panose="04020705040A02060702" pitchFamily="82" charset="0"/>
          </a:endParaRPr>
        </a:p>
        <a:p>
          <a:pPr lvl="0"/>
          <a:r>
            <a:rPr lang="en-IN" sz="4000" b="1">
              <a:solidFill>
                <a:srgbClr val="FFC000"/>
              </a:solidFill>
            </a:rPr>
            <a:t>. Fix S07 &amp; S03</a:t>
          </a:r>
          <a:r>
            <a:rPr lang="en-IN" sz="4000" b="1"/>
            <a:t>:</a:t>
          </a:r>
          <a:r>
            <a:rPr lang="en-IN" sz="4000"/>
            <a:t> </a:t>
          </a:r>
        </a:p>
        <a:p>
          <a:pPr lvl="0"/>
          <a:r>
            <a:rPr lang="en-IN" sz="4000" b="0"/>
            <a:t>    . </a:t>
          </a:r>
          <a:r>
            <a:rPr lang="en-IN" sz="3600" b="0"/>
            <a:t>S07 has 14.0% returns     	+ 	83.8% delivery;</a:t>
          </a:r>
          <a:r>
            <a:rPr lang="en-IN" sz="4000"/>
            <a:t> </a:t>
          </a:r>
        </a:p>
        <a:p>
          <a:pPr lvl="0"/>
          <a:r>
            <a:rPr lang="en-IN" sz="4000" baseline="0"/>
            <a:t>    </a:t>
          </a:r>
          <a:r>
            <a:rPr lang="en-IN" sz="4000"/>
            <a:t>. </a:t>
          </a:r>
          <a:r>
            <a:rPr lang="en-IN" sz="3600" b="0"/>
            <a:t>S03 has 7.9% 	returns +   	₹2.78Ldiscounts. </a:t>
          </a:r>
        </a:p>
        <a:p>
          <a:pPr lvl="0"/>
          <a:r>
            <a:rPr lang="en-IN" sz="4000" b="1">
              <a:solidFill>
                <a:srgbClr val="FFC000"/>
              </a:solidFill>
            </a:rPr>
            <a:t>. Value</a:t>
          </a:r>
          <a:r>
            <a:rPr lang="en-IN" sz="4000" b="1"/>
            <a:t>:</a:t>
          </a:r>
          <a:r>
            <a:rPr lang="en-IN" sz="4000"/>
            <a:t> </a:t>
          </a:r>
        </a:p>
        <a:p>
          <a:pPr lvl="0"/>
          <a:r>
            <a:rPr lang="en-IN" sz="4000" baseline="0"/>
            <a:t>     . </a:t>
          </a:r>
          <a:r>
            <a:rPr lang="en-IN" sz="3600" b="0"/>
            <a:t>Bringing them to the median 	store contribution margin 	could recover roughly ₹	6.34L (S07) + ₹3.42L (S03) = 	</a:t>
          </a:r>
          <a:r>
            <a:rPr lang="en-IN" sz="3600" b="0" u="sng"/>
            <a:t>₹9.76L.</a:t>
          </a:r>
        </a:p>
        <a:p>
          <a:pPr algn="l"/>
          <a:r>
            <a:rPr lang="en-IN" sz="4000" b="1" baseline="0">
              <a:latin typeface="+mn-lt"/>
            </a:rPr>
            <a:t>	</a:t>
          </a:r>
        </a:p>
        <a:p>
          <a:pPr algn="l"/>
          <a:endParaRPr lang="en-IN" sz="4000" b="0" baseline="0">
            <a:latin typeface="+mn-lt"/>
          </a:endParaRPr>
        </a:p>
        <a:p>
          <a:pPr algn="l"/>
          <a:endParaRPr lang="en-IN" sz="4000" b="1">
            <a:latin typeface="Algerian" panose="04020705040A02060702" pitchFamily="82" charset="0"/>
          </a:endParaRPr>
        </a:p>
      </xdr:txBody>
    </xdr:sp>
    <xdr:clientData/>
  </xdr:twoCellAnchor>
  <xdr:twoCellAnchor>
    <xdr:from>
      <xdr:col>29</xdr:col>
      <xdr:colOff>301625</xdr:colOff>
      <xdr:row>84</xdr:row>
      <xdr:rowOff>15876</xdr:rowOff>
    </xdr:from>
    <xdr:to>
      <xdr:col>47</xdr:col>
      <xdr:colOff>539750</xdr:colOff>
      <xdr:row>138</xdr:row>
      <xdr:rowOff>174626</xdr:rowOff>
    </xdr:to>
    <xdr:sp macro="" textlink="">
      <xdr:nvSpPr>
        <xdr:cNvPr id="2" name="Star: 12 Points 1">
          <a:extLst>
            <a:ext uri="{FF2B5EF4-FFF2-40B4-BE49-F238E27FC236}">
              <a16:creationId xmlns:a16="http://schemas.microsoft.com/office/drawing/2014/main" id="{F87C1CC3-5B35-44D8-8BC3-C0E845D5FA43}"/>
            </a:ext>
          </a:extLst>
        </xdr:cNvPr>
        <xdr:cNvSpPr/>
      </xdr:nvSpPr>
      <xdr:spPr>
        <a:xfrm>
          <a:off x="17795875" y="16097251"/>
          <a:ext cx="11096625" cy="10445750"/>
        </a:xfrm>
        <a:prstGeom prst="star12">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4000" b="1">
              <a:solidFill>
                <a:srgbClr val="00B050"/>
              </a:solidFill>
              <a:latin typeface="Algerian" panose="04020705040A02060702" pitchFamily="82" charset="0"/>
            </a:rPr>
            <a:t>INSIGHTS</a:t>
          </a:r>
          <a:r>
            <a:rPr lang="en-IN" sz="4000" b="1">
              <a:latin typeface="Algerian" panose="04020705040A02060702" pitchFamily="82" charset="0"/>
            </a:rPr>
            <a:t>:</a:t>
          </a:r>
        </a:p>
        <a:p>
          <a:pPr marL="0" marR="0" lvl="0" indent="0" algn="l" defTabSz="914400" eaLnBrk="1" fontAlgn="auto" latinLnBrk="0" hangingPunct="1">
            <a:lnSpc>
              <a:spcPct val="100000"/>
            </a:lnSpc>
            <a:spcBef>
              <a:spcPts val="0"/>
            </a:spcBef>
            <a:spcAft>
              <a:spcPts val="0"/>
            </a:spcAft>
            <a:buClrTx/>
            <a:buSzTx/>
            <a:buFontTx/>
            <a:buNone/>
            <a:tabLst/>
            <a:defRPr/>
          </a:pPr>
          <a:r>
            <a:rPr lang="en-IN" sz="4400" b="1" baseline="0">
              <a:solidFill>
                <a:srgbClr val="FFC000"/>
              </a:solidFill>
              <a:effectLst/>
              <a:latin typeface="+mn-lt"/>
              <a:ea typeface="+mn-ea"/>
              <a:cs typeface="+mn-cs"/>
            </a:rPr>
            <a:t>    </a:t>
          </a:r>
          <a:r>
            <a:rPr lang="en-IN" sz="4400" b="1">
              <a:solidFill>
                <a:srgbClr val="FFC000"/>
              </a:solidFill>
              <a:effectLst/>
              <a:latin typeface="+mn-lt"/>
              <a:ea typeface="+mn-ea"/>
              <a:cs typeface="+mn-cs"/>
            </a:rPr>
            <a:t>. Categories:</a:t>
          </a:r>
          <a:r>
            <a:rPr lang="en-IN" sz="4400">
              <a:solidFill>
                <a:srgbClr val="FFC000"/>
              </a:solidFill>
              <a:effectLst/>
              <a:latin typeface="+mn-lt"/>
              <a:ea typeface="+mn-ea"/>
              <a:cs typeface="+mn-cs"/>
            </a:rPr>
            <a:t> </a:t>
          </a:r>
          <a:endParaRPr lang="en-IN" sz="13800">
            <a:solidFill>
              <a:srgbClr val="FFC000"/>
            </a:solidFill>
            <a:effectLst/>
          </a:endParaRPr>
        </a:p>
        <a:p>
          <a:pPr lvl="0"/>
          <a:r>
            <a:rPr lang="en-IN" sz="4000" b="1">
              <a:solidFill>
                <a:schemeClr val="lt1"/>
              </a:solidFill>
              <a:latin typeface="Algerian" panose="04020705040A02060702" pitchFamily="82" charset="0"/>
            </a:rPr>
            <a:t>	</a:t>
          </a:r>
          <a:r>
            <a:rPr lang="en-IN" sz="3600" b="0">
              <a:solidFill>
                <a:schemeClr val="bg1"/>
              </a:solidFill>
            </a:rPr>
            <a:t>. BakeryBeverages</a:t>
          </a:r>
        </a:p>
        <a:p>
          <a:pPr lvl="0"/>
          <a:r>
            <a:rPr lang="en-IN" sz="3600" b="0">
              <a:solidFill>
                <a:schemeClr val="bg1"/>
              </a:solidFill>
            </a:rPr>
            <a:t>	. Dairy &amp; Eggs</a:t>
          </a:r>
        </a:p>
        <a:p>
          <a:pPr lvl="0"/>
          <a:r>
            <a:rPr lang="en-IN" sz="3600" b="0">
              <a:solidFill>
                <a:schemeClr val="bg1"/>
              </a:solidFill>
            </a:rPr>
            <a:t>	. Fruits &amp; Vegetables</a:t>
          </a:r>
        </a:p>
        <a:p>
          <a:pPr lvl="0"/>
          <a:r>
            <a:rPr lang="en-IN" sz="3600" b="0">
              <a:solidFill>
                <a:schemeClr val="bg1"/>
              </a:solidFill>
            </a:rPr>
            <a:t>	. Household</a:t>
          </a:r>
        </a:p>
        <a:p>
          <a:pPr lvl="0"/>
          <a:r>
            <a:rPr lang="en-IN" sz="3600" b="0">
              <a:solidFill>
                <a:schemeClr val="bg1"/>
              </a:solidFill>
            </a:rPr>
            <a:t>	. Meat &amp; Seafood</a:t>
          </a:r>
        </a:p>
        <a:p>
          <a:pPr lvl="0"/>
          <a:r>
            <a:rPr lang="en-IN" sz="3600" b="0">
              <a:solidFill>
                <a:schemeClr val="bg1"/>
              </a:solidFill>
            </a:rPr>
            <a:t>	. Personal Care</a:t>
          </a:r>
        </a:p>
        <a:p>
          <a:pPr lvl="0"/>
          <a:r>
            <a:rPr lang="en-IN" sz="3600" b="0">
              <a:solidFill>
                <a:schemeClr val="bg1"/>
              </a:solidFill>
            </a:rPr>
            <a:t>	. Snacks &amp; Packaged</a:t>
          </a:r>
          <a:endParaRPr lang="en-IN" sz="3600" b="0" baseline="0">
            <a:solidFill>
              <a:schemeClr val="bg1"/>
            </a:solidFill>
            <a:latin typeface="+mn-lt"/>
          </a:endParaRPr>
        </a:p>
        <a:p>
          <a:pPr algn="l"/>
          <a:endParaRPr lang="en-IN" sz="4000" b="1">
            <a:latin typeface="Algerian" panose="04020705040A02060702" pitchFamily="82" charset="0"/>
          </a:endParaRPr>
        </a:p>
      </xdr:txBody>
    </xdr:sp>
    <xdr:clientData/>
  </xdr:twoCellAnchor>
  <xdr:twoCellAnchor>
    <xdr:from>
      <xdr:col>26</xdr:col>
      <xdr:colOff>520094</xdr:colOff>
      <xdr:row>130</xdr:row>
      <xdr:rowOff>138338</xdr:rowOff>
    </xdr:from>
    <xdr:to>
      <xdr:col>46</xdr:col>
      <xdr:colOff>573997</xdr:colOff>
      <xdr:row>209</xdr:row>
      <xdr:rowOff>68035</xdr:rowOff>
    </xdr:to>
    <xdr:sp macro="" textlink="">
      <xdr:nvSpPr>
        <xdr:cNvPr id="3" name="Star: 12 Points 2">
          <a:extLst>
            <a:ext uri="{FF2B5EF4-FFF2-40B4-BE49-F238E27FC236}">
              <a16:creationId xmlns:a16="http://schemas.microsoft.com/office/drawing/2014/main" id="{8C71C828-93F7-44D0-92AD-050FD5C74B1C}"/>
            </a:ext>
          </a:extLst>
        </xdr:cNvPr>
        <xdr:cNvSpPr/>
      </xdr:nvSpPr>
      <xdr:spPr>
        <a:xfrm>
          <a:off x="16243904" y="23814767"/>
          <a:ext cx="12149141" cy="14262554"/>
        </a:xfrm>
        <a:prstGeom prst="star12">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4000" b="1">
              <a:solidFill>
                <a:srgbClr val="00B050"/>
              </a:solidFill>
              <a:latin typeface="Algerian" panose="04020705040A02060702" pitchFamily="82" charset="0"/>
            </a:rPr>
            <a:t>INSIGHTS</a:t>
          </a:r>
          <a:r>
            <a:rPr lang="en-IN" sz="4000" b="1">
              <a:latin typeface="Algerian" panose="04020705040A02060702" pitchFamily="82" charset="0"/>
            </a:rPr>
            <a:t>:</a:t>
          </a:r>
        </a:p>
        <a:p>
          <a:pPr algn="l"/>
          <a:endParaRPr lang="en-IN" sz="4000" b="1">
            <a:latin typeface="Algerian" panose="04020705040A02060702" pitchFamily="82" charset="0"/>
          </a:endParaRPr>
        </a:p>
        <a:p>
          <a:pPr lvl="0"/>
          <a:r>
            <a:rPr lang="en-IN" sz="4000" b="1">
              <a:solidFill>
                <a:srgbClr val="FFC000"/>
              </a:solidFill>
            </a:rPr>
            <a:t>. Discount cost</a:t>
          </a:r>
          <a:r>
            <a:rPr lang="en-IN" sz="4000" b="1"/>
            <a:t>:</a:t>
          </a:r>
          <a:r>
            <a:rPr lang="en-IN" sz="4000"/>
            <a:t> </a:t>
          </a:r>
        </a:p>
        <a:p>
          <a:pPr lvl="0"/>
          <a:r>
            <a:rPr lang="en-IN" sz="4000" b="0"/>
            <a:t>	. </a:t>
          </a:r>
          <a:r>
            <a:rPr lang="en-IN" sz="3600" b="0"/>
            <a:t>₹15.6L total; FRESH50 	alone costs ₹5.07L and</a:t>
          </a:r>
          <a:r>
            <a:rPr lang="en-IN" sz="3600" b="0" baseline="0"/>
            <a:t> less</a:t>
          </a:r>
        </a:p>
        <a:p>
          <a:pPr lvl="0"/>
          <a:r>
            <a:rPr lang="en-IN" sz="3600" b="0" baseline="0">
              <a:latin typeface="+mn-lt"/>
            </a:rPr>
            <a:t>	gross revenue</a:t>
          </a:r>
        </a:p>
        <a:p>
          <a:pPr algn="l"/>
          <a:endParaRPr lang="en-IN" sz="4000" b="0" baseline="0">
            <a:latin typeface="+mn-lt"/>
          </a:endParaRPr>
        </a:p>
        <a:p>
          <a:pPr algn="l"/>
          <a:endParaRPr lang="en-IN" sz="4000" b="1">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7.971733333332" createdVersion="8" refreshedVersion="8" minRefreshableVersion="3" recordCount="6" xr:uid="{921FFFC6-AD39-4F4A-8773-77416D647AEB}">
  <cacheSource type="worksheet">
    <worksheetSource name="vw_promo_impact"/>
  </cacheSource>
  <cacheFields count="6">
    <cacheField name="promo_code" numFmtId="0">
      <sharedItems count="6">
        <s v="NEW100"/>
        <s v="SAVE20"/>
        <s v="FLAT75"/>
        <s v="WEEKEND15"/>
        <s v="CITY150"/>
        <s v="FRESH50"/>
      </sharedItems>
    </cacheField>
    <cacheField name="orders_used" numFmtId="0">
      <sharedItems containsSemiMixedTypes="0" containsString="0" containsNumber="1" containsInteger="1" minValue="86" maxValue="3729"/>
    </cacheField>
    <cacheField name="gross_revenue" numFmtId="0">
      <sharedItems containsSemiMixedTypes="0" containsString="0" containsNumber="1" minValue="93189.07" maxValue="2323389.35"/>
    </cacheField>
    <cacheField name="total_discount_given" numFmtId="0">
      <sharedItems containsSemiMixedTypes="0" containsString="0" containsNumber="1" minValue="12900" maxValue="506581.36"/>
    </cacheField>
    <cacheField name="avg_discount" numFmtId="0">
      <sharedItems containsSemiMixedTypes="0" containsString="0" containsNumber="1" minValue="74.97" maxValue="329.16"/>
    </cacheField>
    <cacheField name="contribution" numFmtId="0">
      <sharedItems containsSemiMixedTypes="0" containsString="0" containsNumber="1" minValue="-366909.34" maxValue="94306.21"/>
    </cacheField>
  </cacheFields>
  <extLst>
    <ext xmlns:x14="http://schemas.microsoft.com/office/spreadsheetml/2009/9/main" uri="{725AE2AE-9491-48be-B2B4-4EB974FC3084}">
      <x14:pivotCacheDefinition pivotCacheId="2311563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7.976723495369" createdVersion="8" refreshedVersion="8" minRefreshableVersion="3" recordCount="48" xr:uid="{965D7662-6689-4C4C-9F29-5F7F0AA48841}">
  <cacheSource type="worksheet">
    <worksheetSource name="vw_root_cause"/>
  </cacheSource>
  <cacheFields count="5">
    <cacheField name="category" numFmtId="0">
      <sharedItems count="8">
        <s v="Bakery"/>
        <s v="Beverages"/>
        <s v="Dairy &amp; Eggs"/>
        <s v="Fruits &amp; Vegetables"/>
        <s v="Household"/>
        <s v="Meat &amp; Seafood"/>
        <s v="Personal Care"/>
        <s v="Snacks &amp; Packaged"/>
      </sharedItems>
    </cacheField>
    <cacheField name="promo_code" numFmtId="0">
      <sharedItems/>
    </cacheField>
    <cacheField name="orders" numFmtId="0">
      <sharedItems containsSemiMixedTypes="0" containsString="0" containsNumber="1" containsInteger="1" minValue="22" maxValue="1789"/>
    </cacheField>
    <cacheField name="discount_cost" numFmtId="0">
      <sharedItems containsSemiMixedTypes="0" containsString="0" containsNumber="1" minValue="3450" maxValue="320446.57"/>
    </cacheField>
    <cacheField name="contribution" numFmtId="0">
      <sharedItems containsSemiMixedTypes="0" containsString="0" containsNumber="1" minValue="-240532.19" maxValue="103022.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7.999005555554" createdVersion="8" refreshedVersion="8" minRefreshableVersion="3" recordCount="10" xr:uid="{6B91E29C-9C3C-45CA-9E96-AF472F37DF4B}">
  <cacheSource type="worksheet">
    <worksheetSource name="vw_delivery_perf"/>
  </cacheSource>
  <cacheFields count="4">
    <cacheField name="store_id" numFmtId="0">
      <sharedItems count="10">
        <s v="S01"/>
        <s v="S02"/>
        <s v="S03"/>
        <s v="S04"/>
        <s v="S05"/>
        <s v="S06"/>
        <s v="S07"/>
        <s v="S08"/>
        <s v="S10"/>
        <s v="S09"/>
      </sharedItems>
    </cacheField>
    <cacheField name="delivered_orders" numFmtId="0">
      <sharedItems containsSemiMixedTypes="0" containsString="0" containsNumber="1" containsInteger="1" minValue="1712" maxValue="5811"/>
    </cacheField>
    <cacheField name="avg_actual_min" numFmtId="0">
      <sharedItems containsSemiMixedTypes="0" containsString="0" containsNumber="1" minValue="14.53" maxValue="16.54"/>
    </cacheField>
    <cacheField name="on_time_pct" numFmtId="0">
      <sharedItems containsSemiMixedTypes="0" containsString="0" containsNumber="1" minValue="34.049999999999997" maxValue="5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8.004715277777" createdVersion="8" refreshedVersion="8" minRefreshableVersion="3" recordCount="8" xr:uid="{228F81C3-FB65-4DE4-8761-7D12E8C5FBC6}">
  <cacheSource type="worksheet">
    <worksheetSource name="vw_category_perf"/>
  </cacheSource>
  <cacheFields count="6">
    <cacheField name="category" numFmtId="0">
      <sharedItems count="8">
        <s v="Bakery"/>
        <s v="Beverages"/>
        <s v="Dairy &amp; Eggs"/>
        <s v="Fruits &amp; Vegetables"/>
        <s v="Household"/>
        <s v="Meat &amp; Seafood"/>
        <s v="Personal Care"/>
        <s v="Snacks &amp; Packaged"/>
      </sharedItems>
    </cacheField>
    <cacheField name="orders" numFmtId="0">
      <sharedItems containsSemiMixedTypes="0" containsString="0" containsNumber="1" containsInteger="1" minValue="11696" maxValue="23091"/>
    </cacheField>
    <cacheField name="units_sold" numFmtId="0">
      <sharedItems containsSemiMixedTypes="0" containsString="0" containsNumber="1" containsInteger="1" minValue="18753" maxValue="41686"/>
    </cacheField>
    <cacheField name="revenue" numFmtId="0">
      <sharedItems containsSemiMixedTypes="0" containsString="0" containsNumber="1" minValue="1870350.97" maxValue="4854223.38"/>
    </cacheField>
    <cacheField name="margin" numFmtId="0">
      <sharedItems containsSemiMixedTypes="0" containsString="0" containsNumber="1" minValue="147708.21" maxValue="1883518.33"/>
    </cacheField>
    <cacheField name="Profit Margin Percentage" numFmtId="9">
      <sharedItems containsSemiMixedTypes="0" containsString="0" containsNumber="1" minValue="5.6008029823433399E-2" maxValue="0.39011700272794664"/>
    </cacheField>
  </cacheFields>
  <extLst>
    <ext xmlns:x14="http://schemas.microsoft.com/office/spreadsheetml/2009/9/main" uri="{725AE2AE-9491-48be-B2B4-4EB974FC3084}">
      <x14:pivotCacheDefinition pivotCacheId="184796468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288.013025" createdVersion="8" refreshedVersion="8" minRefreshableVersion="3" recordCount="10" xr:uid="{3887AEDB-5618-4C3E-8505-88ABCCF2E240}">
  <cacheSource type="worksheet">
    <worksheetSource name="vw_store_pnl"/>
  </cacheSource>
  <cacheFields count="15">
    <cacheField name="store_id" numFmtId="0">
      <sharedItems count="10">
        <s v="S01"/>
        <s v="S02"/>
        <s v="S03"/>
        <s v="S04"/>
        <s v="S05"/>
        <s v="S06"/>
        <s v="S07"/>
        <s v="S08"/>
        <s v="S10"/>
        <s v="S09"/>
      </sharedItems>
    </cacheField>
    <cacheField name="total_orders" numFmtId="0">
      <sharedItems containsSemiMixedTypes="0" containsString="0" containsNumber="1" containsInteger="1" minValue="1815" maxValue="6153"/>
    </cacheField>
    <cacheField name="delivered" numFmtId="0">
      <sharedItems containsSemiMixedTypes="0" containsString="0" containsNumber="1" containsInteger="1" minValue="1712" maxValue="5811"/>
    </cacheField>
    <cacheField name="returned" numFmtId="0">
      <sharedItems containsSemiMixedTypes="0" containsString="0" containsNumber="1" containsInteger="1" minValue="72" maxValue="797"/>
    </cacheField>
    <cacheField name="cancelled" numFmtId="0">
      <sharedItems containsSemiMixedTypes="0" containsString="0" containsNumber="1" containsInteger="1" minValue="31" maxValue="132"/>
    </cacheField>
    <cacheField name="gross_revenue" numFmtId="0">
      <sharedItems containsSemiMixedTypes="0" containsString="0" containsNumber="1" minValue="1008430.21" maxValue="3370538.3"/>
    </cacheField>
    <cacheField name="discounts" numFmtId="0">
      <sharedItems containsSemiMixedTypes="0" containsString="0" containsNumber="1" minValue="44138.67" maxValue="284563.71999999997"/>
    </cacheField>
    <cacheField name="cogs" numFmtId="0">
      <sharedItems containsSemiMixedTypes="0" containsString="0" containsNumber="1" minValue="738397.88" maxValue="2465200.65"/>
    </cacheField>
    <cacheField name="delivery_cost" numFmtId="0">
      <sharedItems containsSemiMixedTypes="0" containsString="0" containsNumber="1" minValue="50728.75" maxValue="239530.15"/>
    </cacheField>
    <cacheField name="contribution" numFmtId="0">
      <sharedItems containsSemiMixedTypes="0" containsString="0" containsNumber="1" minValue="-202668.46" maxValue="460390.89"/>
    </cacheField>
    <cacheField name="cancel_pct" numFmtId="0">
      <sharedItems containsSemiMixedTypes="0" containsString="0" containsNumber="1" minValue="1.71" maxValue="2.23"/>
    </cacheField>
    <cacheField name="Return Percentage" numFmtId="9">
      <sharedItems containsSemiMixedTypes="0" containsString="0" containsNumber="1" minValue="2.9526858769121308E-2" maxValue="0.14014418850008792"/>
    </cacheField>
    <cacheField name="Delivery Percent" numFmtId="9">
      <sharedItems containsSemiMixedTypes="0" containsString="0" containsNumber="1" minValue="0.8375241779497099" maxValue="0.95014463161476947"/>
    </cacheField>
    <cacheField name="Profit" numFmtId="0">
      <sharedItems containsSemiMixedTypes="0" containsString="0" containsNumber="1" minValue="175164.90999999992" maxValue="581601.52000000025" count="10">
        <n v="579936.92999999993"/>
        <n v="563371.41999999981"/>
        <n v="305530.18"/>
        <n v="539230.75000000012"/>
        <n v="449633.43"/>
        <n v="581601.52000000025"/>
        <n v="202787.7400000006"/>
        <n v="512031.38999999966"/>
        <n v="513786.7300000001"/>
        <n v="175164.90999999992"/>
      </sharedItems>
    </cacheField>
    <cacheField name="Profit Margin%" numFmtId="9">
      <sharedItems containsSemiMixedTypes="0" containsString="0" containsNumber="1" minValue="6.4930175333567194E-2" maxValue="0.1755718959613069"/>
    </cacheField>
  </cacheFields>
  <extLst>
    <ext xmlns:x14="http://schemas.microsoft.com/office/spreadsheetml/2009/9/main" uri="{725AE2AE-9491-48be-B2B4-4EB974FC3084}">
      <x14:pivotCacheDefinition pivotCacheId="228183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064"/>
    <n v="828878.59"/>
    <n v="106313.39"/>
    <n v="99.92"/>
    <n v="40143.72"/>
  </r>
  <r>
    <x v="1"/>
    <n v="3729"/>
    <n v="2323389.35"/>
    <n v="464677.9"/>
    <n v="124.61"/>
    <n v="-55531.88"/>
  </r>
  <r>
    <x v="2"/>
    <n v="2273"/>
    <n v="1563588.22"/>
    <n v="170416.8"/>
    <n v="74.97"/>
    <n v="94306.21"/>
  </r>
  <r>
    <x v="3"/>
    <n v="3375"/>
    <n v="2021943.92"/>
    <n v="303291.34999999998"/>
    <n v="89.86"/>
    <n v="49256.33"/>
  </r>
  <r>
    <x v="4"/>
    <n v="86"/>
    <n v="93189.07"/>
    <n v="12900"/>
    <n v="150"/>
    <n v="4876.51"/>
  </r>
  <r>
    <x v="5"/>
    <n v="1539"/>
    <n v="1013162.66"/>
    <n v="506581.36"/>
    <n v="329.16"/>
    <n v="-366909.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s v="CITY150"/>
    <n v="22"/>
    <n v="3450"/>
    <n v="1282.72"/>
  </r>
  <r>
    <x v="0"/>
    <s v="FLAT75"/>
    <n v="522"/>
    <n v="42450"/>
    <n v="21910.59"/>
  </r>
  <r>
    <x v="0"/>
    <s v="FRESH50"/>
    <n v="389"/>
    <n v="145041"/>
    <n v="-113783.06"/>
  </r>
  <r>
    <x v="0"/>
    <s v="NEW100"/>
    <n v="268"/>
    <n v="29500"/>
    <n v="6032.13"/>
  </r>
  <r>
    <x v="0"/>
    <s v="SAVE20"/>
    <n v="905"/>
    <n v="125538.76"/>
    <n v="-34580.120000000003"/>
  </r>
  <r>
    <x v="0"/>
    <s v="WEEKEND15"/>
    <n v="746"/>
    <n v="74794.44"/>
    <n v="-1000.12"/>
  </r>
  <r>
    <x v="1"/>
    <s v="CITY150"/>
    <n v="53"/>
    <n v="10650"/>
    <n v="4775.6000000000004"/>
  </r>
  <r>
    <x v="1"/>
    <s v="FLAT75"/>
    <n v="1149"/>
    <n v="105258.63"/>
    <n v="68598.86"/>
  </r>
  <r>
    <x v="1"/>
    <s v="FRESH50"/>
    <n v="678"/>
    <n v="303419.84999999998"/>
    <n v="-209403.4"/>
  </r>
  <r>
    <x v="1"/>
    <s v="NEW100"/>
    <n v="510"/>
    <n v="64500"/>
    <n v="35308.9"/>
  </r>
  <r>
    <x v="1"/>
    <s v="SAVE20"/>
    <n v="1789"/>
    <n v="299688.90999999997"/>
    <n v="-38760.74"/>
  </r>
  <r>
    <x v="1"/>
    <s v="WEEKEND15"/>
    <n v="1590"/>
    <n v="189537.48"/>
    <n v="42087.91"/>
  </r>
  <r>
    <x v="2"/>
    <s v="CITY150"/>
    <n v="39"/>
    <n v="7350"/>
    <n v="2178"/>
  </r>
  <r>
    <x v="2"/>
    <s v="FLAT75"/>
    <n v="871"/>
    <n v="77168.98"/>
    <n v="24153.73"/>
  </r>
  <r>
    <x v="2"/>
    <s v="FRESH50"/>
    <n v="606"/>
    <n v="257554.67"/>
    <n v="-197637.56"/>
  </r>
  <r>
    <x v="2"/>
    <s v="NEW100"/>
    <n v="402"/>
    <n v="47700"/>
    <n v="6703.53"/>
  </r>
  <r>
    <x v="2"/>
    <s v="SAVE20"/>
    <n v="1312"/>
    <n v="201235.52"/>
    <n v="-53523.89"/>
  </r>
  <r>
    <x v="2"/>
    <s v="WEEKEND15"/>
    <n v="1150"/>
    <n v="130680.61"/>
    <n v="-9454.65"/>
  </r>
  <r>
    <x v="3"/>
    <s v="CITY150"/>
    <n v="34"/>
    <n v="6300"/>
    <n v="4036.33"/>
  </r>
  <r>
    <x v="3"/>
    <s v="FLAT75"/>
    <n v="955"/>
    <n v="88200"/>
    <n v="34686.22"/>
  </r>
  <r>
    <x v="3"/>
    <s v="FRESH50"/>
    <n v="733"/>
    <n v="320446.57"/>
    <n v="-240532.19"/>
  </r>
  <r>
    <x v="3"/>
    <s v="NEW100"/>
    <n v="507"/>
    <n v="63533"/>
    <n v="24093.47"/>
  </r>
  <r>
    <x v="3"/>
    <s v="SAVE20"/>
    <n v="1605"/>
    <n v="256674.29"/>
    <n v="-39046.89"/>
  </r>
  <r>
    <x v="3"/>
    <s v="WEEKEND15"/>
    <n v="1409"/>
    <n v="160924.63"/>
    <n v="15104.07"/>
  </r>
  <r>
    <x v="4"/>
    <s v="CITY150"/>
    <n v="36"/>
    <n v="7500"/>
    <n v="3514.41"/>
  </r>
  <r>
    <x v="4"/>
    <s v="FLAT75"/>
    <n v="963"/>
    <n v="85558.17"/>
    <n v="70567.63"/>
  </r>
  <r>
    <x v="4"/>
    <s v="FRESH50"/>
    <n v="532"/>
    <n v="229839.35999999999"/>
    <n v="-148470.53"/>
  </r>
  <r>
    <x v="4"/>
    <s v="NEW100"/>
    <n v="445"/>
    <n v="53060.78"/>
    <n v="31215.19"/>
  </r>
  <r>
    <x v="4"/>
    <s v="SAVE20"/>
    <n v="1518"/>
    <n v="230681.76"/>
    <n v="1713.4"/>
  </r>
  <r>
    <x v="4"/>
    <s v="WEEKEND15"/>
    <n v="1294"/>
    <n v="142713.93"/>
    <n v="50472.4"/>
  </r>
  <r>
    <x v="5"/>
    <s v="CITY150"/>
    <n v="25"/>
    <n v="4200"/>
    <n v="673.69"/>
  </r>
  <r>
    <x v="5"/>
    <s v="FLAT75"/>
    <n v="642"/>
    <n v="52875"/>
    <n v="10266.450000000001"/>
  </r>
  <r>
    <x v="5"/>
    <s v="FRESH50"/>
    <n v="461"/>
    <n v="202598.97"/>
    <n v="-168405.88"/>
  </r>
  <r>
    <x v="5"/>
    <s v="NEW100"/>
    <n v="321"/>
    <n v="35000"/>
    <n v="906.9"/>
  </r>
  <r>
    <x v="5"/>
    <s v="SAVE20"/>
    <n v="932"/>
    <n v="138135.01"/>
    <n v="-56536.39"/>
  </r>
  <r>
    <x v="5"/>
    <s v="WEEKEND15"/>
    <n v="822"/>
    <n v="89732.79"/>
    <n v="-15914.92"/>
  </r>
  <r>
    <x v="6"/>
    <s v="CITY150"/>
    <n v="39"/>
    <n v="7350"/>
    <n v="4982.34"/>
  </r>
  <r>
    <x v="6"/>
    <s v="FLAT75"/>
    <n v="984"/>
    <n v="87289.19"/>
    <n v="82379.759999999995"/>
  </r>
  <r>
    <x v="6"/>
    <s v="FRESH50"/>
    <n v="578"/>
    <n v="257025.32"/>
    <n v="-161391.97"/>
  </r>
  <r>
    <x v="6"/>
    <s v="NEW100"/>
    <n v="488"/>
    <n v="59600"/>
    <n v="36863.440000000002"/>
  </r>
  <r>
    <x v="6"/>
    <s v="SAVE20"/>
    <n v="1565"/>
    <n v="249169.84"/>
    <n v="11782.38"/>
  </r>
  <r>
    <x v="6"/>
    <s v="WEEKEND15"/>
    <n v="1394"/>
    <n v="158340.98000000001"/>
    <n v="56915.02"/>
  </r>
  <r>
    <x v="7"/>
    <s v="CITY150"/>
    <n v="42"/>
    <n v="9300"/>
    <n v="441.69"/>
  </r>
  <r>
    <x v="7"/>
    <s v="FLAT75"/>
    <n v="1108"/>
    <n v="102975"/>
    <n v="103022.01"/>
  </r>
  <r>
    <x v="7"/>
    <s v="FRESH50"/>
    <n v="668"/>
    <n v="295034.15000000002"/>
    <n v="-183246.18"/>
  </r>
  <r>
    <x v="7"/>
    <s v="NEW100"/>
    <n v="532"/>
    <n v="68000"/>
    <n v="54438.12"/>
  </r>
  <r>
    <x v="7"/>
    <s v="SAVE20"/>
    <n v="1679"/>
    <n v="276814.5"/>
    <n v="17788.669999999998"/>
  </r>
  <r>
    <x v="7"/>
    <s v="WEEKEND15"/>
    <n v="1583"/>
    <n v="188734.65"/>
    <n v="84863.8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5772"/>
    <n v="14.58"/>
    <n v="59.55"/>
  </r>
  <r>
    <x v="1"/>
    <n v="5584"/>
    <n v="14.62"/>
    <n v="59.17"/>
  </r>
  <r>
    <x v="2"/>
    <n v="5001"/>
    <n v="16.54"/>
    <n v="34.65"/>
  </r>
  <r>
    <x v="3"/>
    <n v="5333"/>
    <n v="14.69"/>
    <n v="57.98"/>
  </r>
  <r>
    <x v="4"/>
    <n v="4436"/>
    <n v="14.53"/>
    <n v="59.56"/>
  </r>
  <r>
    <x v="5"/>
    <n v="5811"/>
    <n v="14.6"/>
    <n v="59.01"/>
  </r>
  <r>
    <x v="6"/>
    <n v="4763"/>
    <n v="16.489999999999998"/>
    <n v="34.049999999999997"/>
  </r>
  <r>
    <x v="7"/>
    <n v="5041"/>
    <n v="14.63"/>
    <n v="59.23"/>
  </r>
  <r>
    <x v="8"/>
    <n v="5057"/>
    <n v="14.57"/>
    <n v="58.75"/>
  </r>
  <r>
    <x v="9"/>
    <n v="1712"/>
    <n v="14.57"/>
    <n v="5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1776"/>
    <n v="18927"/>
    <n v="1870350.97"/>
    <n v="329438.94"/>
    <n v="0.17613749787292596"/>
  </r>
  <r>
    <x v="1"/>
    <n v="23091"/>
    <n v="41686"/>
    <n v="4854223.38"/>
    <n v="1145579.49"/>
    <n v="0.23599645099150754"/>
  </r>
  <r>
    <x v="2"/>
    <n v="17505"/>
    <n v="29841"/>
    <n v="3356071.65"/>
    <n v="555078.91"/>
    <n v="0.16539542890867662"/>
  </r>
  <r>
    <x v="3"/>
    <n v="21161"/>
    <n v="37905"/>
    <n v="4030632.17"/>
    <n v="946497.06"/>
    <n v="0.23482595783479793"/>
  </r>
  <r>
    <x v="4"/>
    <n v="20377"/>
    <n v="35482"/>
    <n v="3120649.67"/>
    <n v="1195214.1599999999"/>
    <n v="0.38300171002533584"/>
  </r>
  <r>
    <x v="5"/>
    <n v="11696"/>
    <n v="18753"/>
    <n v="2637268.4500000002"/>
    <n v="147708.21"/>
    <n v="5.6008029823433399E-2"/>
  </r>
  <r>
    <x v="6"/>
    <n v="20533"/>
    <n v="35973"/>
    <n v="3797661.92"/>
    <n v="1341113.23"/>
    <n v="0.35314181679447654"/>
  </r>
  <r>
    <x v="7"/>
    <n v="22925"/>
    <n v="41338"/>
    <n v="4828085.72"/>
    <n v="1883518.33"/>
    <n v="0.3901170027279466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6091"/>
    <n v="5772"/>
    <n v="201"/>
    <n v="118"/>
    <n v="3370538.3"/>
    <n v="154609.76999999999"/>
    <n v="2465200.65"/>
    <n v="170790.95"/>
    <n v="459494.7"/>
    <n v="1.94"/>
    <n v="3.2999507470037763E-2"/>
    <n v="0.94762764734854699"/>
    <x v="0"/>
    <n v="0.17206062604302699"/>
  </r>
  <r>
    <x v="1"/>
    <n v="5877"/>
    <n v="5584"/>
    <n v="178"/>
    <n v="115"/>
    <n v="3269608.95"/>
    <n v="148836.14000000001"/>
    <n v="2392695.9700000002"/>
    <n v="164705.42000000001"/>
    <n v="457583.42"/>
    <n v="1.96"/>
    <n v="3.0287561681129827E-2"/>
    <n v="0.95014463161476947"/>
    <x v="1"/>
    <n v="0.17230544343842702"/>
  </r>
  <r>
    <x v="2"/>
    <n v="5564"/>
    <n v="5001"/>
    <n v="442"/>
    <n v="121"/>
    <n v="3051694.83"/>
    <n v="278306.36"/>
    <n v="2234257.9700000002"/>
    <n v="233600.32"/>
    <n v="79735.03"/>
    <n v="2.17"/>
    <n v="7.9439252336448593E-2"/>
    <n v="0.8988138030194105"/>
    <x v="2"/>
    <n v="0.10011819563229393"/>
  </r>
  <r>
    <x v="3"/>
    <n v="5622"/>
    <n v="5333"/>
    <n v="166"/>
    <n v="123"/>
    <n v="3109656.42"/>
    <n v="139633.01999999999"/>
    <n v="2273753.0299999998"/>
    <n v="157039.62"/>
    <n v="444250.81"/>
    <n v="2.19"/>
    <n v="2.9526858769121308E-2"/>
    <n v="0.94859480611881897"/>
    <x v="3"/>
    <n v="0.17340525034595305"/>
  </r>
  <r>
    <x v="4"/>
    <n v="4688"/>
    <n v="4436"/>
    <n v="150"/>
    <n v="102"/>
    <n v="2586827.0299999998"/>
    <n v="116419.38"/>
    <n v="1889809.89"/>
    <n v="130964.33"/>
    <n v="359050.77"/>
    <n v="2.1800000000000002"/>
    <n v="3.1996587030716721E-2"/>
    <n v="0.94624573378839594"/>
    <x v="4"/>
    <n v="0.17381658100271205"/>
  </r>
  <r>
    <x v="5"/>
    <n v="6153"/>
    <n v="5811"/>
    <n v="210"/>
    <n v="132"/>
    <n v="3347415.33"/>
    <n v="138560.88"/>
    <n v="2455151.4"/>
    <n v="172101.53"/>
    <n v="460390.89"/>
    <n v="2.15"/>
    <n v="3.4129692832764506E-2"/>
    <n v="0.94441735738664068"/>
    <x v="5"/>
    <n v="0.17374644693402902"/>
  </r>
  <r>
    <x v="6"/>
    <n v="5687"/>
    <n v="4763"/>
    <n v="797"/>
    <n v="127"/>
    <n v="3123166.37"/>
    <n v="284563.71999999997"/>
    <n v="2396284.7599999998"/>
    <n v="239530.15"/>
    <n v="-202668.46"/>
    <n v="2.23"/>
    <n v="0.14014418850008792"/>
    <n v="0.8375241779497099"/>
    <x v="6"/>
    <n v="6.4930175333567194E-2"/>
  </r>
  <r>
    <x v="7"/>
    <n v="5309"/>
    <n v="5041"/>
    <n v="162"/>
    <n v="106"/>
    <n v="2916363.05"/>
    <n v="124864.39"/>
    <n v="2130609.29"/>
    <n v="148857.98000000001"/>
    <n v="423669.02"/>
    <n v="2"/>
    <n v="3.0514221133923526E-2"/>
    <n v="0.94951968355622529"/>
    <x v="7"/>
    <n v="0.1755718959613069"/>
  </r>
  <r>
    <x v="8"/>
    <n v="5327"/>
    <n v="5057"/>
    <n v="178"/>
    <n v="92"/>
    <n v="2941966.31"/>
    <n v="134248.47"/>
    <n v="2144427.5299999998"/>
    <n v="149503.57999999999"/>
    <n v="409561.23"/>
    <n v="1.73"/>
    <n v="3.3414679932419748E-2"/>
    <n v="0.9493148113384644"/>
    <x v="8"/>
    <n v="0.17464058927309745"/>
  </r>
  <r>
    <x v="9"/>
    <n v="1815"/>
    <n v="1712"/>
    <n v="72"/>
    <n v="31"/>
    <n v="1008430.21"/>
    <n v="44138.67"/>
    <n v="738397.88"/>
    <n v="50728.75"/>
    <n v="134691.69"/>
    <n v="1.71"/>
    <n v="3.9669421487603308E-2"/>
    <n v="0.94325068870523421"/>
    <x v="9"/>
    <n v="0.173700577653261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F4B85F-6DB0-4F66-9833-14879F1B6564}"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3:B74"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numFmtId="9" showAll="0"/>
    <pivotField dataField="1"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Average of Delivery Percent" fld="12" subtotal="average" baseField="0" baseItem="0" numFmtId="9"/>
  </dataFields>
  <chartFormats count="1">
    <chartFormat chart="7"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ABADB-B529-4C8D-A9CD-5111B67A32F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11" firstHeaderRow="1" firstDataRow="1" firstDataCol="1"/>
  <pivotFields count="6">
    <pivotField axis="axisRow" showAll="0">
      <items count="9">
        <item x="0"/>
        <item x="1"/>
        <item x="2"/>
        <item x="3"/>
        <item x="4"/>
        <item x="5"/>
        <item x="6"/>
        <item x="7"/>
        <item t="default"/>
      </items>
    </pivotField>
    <pivotField showAll="0"/>
    <pivotField showAll="0"/>
    <pivotField dataField="1" showAll="0"/>
    <pivotField showAll="0"/>
    <pivotField numFmtId="9" showAll="0"/>
  </pivotFields>
  <rowFields count="1">
    <field x="0"/>
  </rowFields>
  <rowItems count="9">
    <i>
      <x/>
    </i>
    <i>
      <x v="1"/>
    </i>
    <i>
      <x v="2"/>
    </i>
    <i>
      <x v="3"/>
    </i>
    <i>
      <x v="4"/>
    </i>
    <i>
      <x v="5"/>
    </i>
    <i>
      <x v="6"/>
    </i>
    <i>
      <x v="7"/>
    </i>
    <i t="grand">
      <x/>
    </i>
  </rowItems>
  <colItems count="1">
    <i/>
  </colItems>
  <dataFields count="1">
    <dataField name="Sum of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CFE93B-8590-4335-9654-6C42B8FAD88E}"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6" firstHeaderRow="1" firstDataRow="1" firstDataCol="1"/>
  <pivotFields count="6">
    <pivotField axis="axisRow" showAll="0">
      <items count="9">
        <item x="0"/>
        <item x="1"/>
        <item x="2"/>
        <item x="3"/>
        <item x="4"/>
        <item x="5"/>
        <item x="6"/>
        <item x="7"/>
        <item t="default"/>
      </items>
    </pivotField>
    <pivotField showAll="0"/>
    <pivotField showAll="0"/>
    <pivotField showAll="0"/>
    <pivotField dataField="1" showAll="0"/>
    <pivotField numFmtId="9" showAll="0"/>
  </pivotFields>
  <rowFields count="1">
    <field x="0"/>
  </rowFields>
  <rowItems count="9">
    <i>
      <x/>
    </i>
    <i>
      <x v="1"/>
    </i>
    <i>
      <x v="2"/>
    </i>
    <i>
      <x v="3"/>
    </i>
    <i>
      <x v="4"/>
    </i>
    <i>
      <x v="5"/>
    </i>
    <i>
      <x v="6"/>
    </i>
    <i>
      <x v="7"/>
    </i>
    <i t="grand">
      <x/>
    </i>
  </rowItems>
  <colItems count="1">
    <i/>
  </colItems>
  <dataFields count="1">
    <dataField name="Sum of margi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AC6FBA-6281-434A-B897-B86B16B78616}"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7:E58"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cog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470C0A-859F-4AEA-AC54-F8A45C01C4AC}"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8:H89"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items count="11">
        <item x="9"/>
        <item x="6"/>
        <item x="2"/>
        <item x="4"/>
        <item x="7"/>
        <item x="8"/>
        <item x="3"/>
        <item x="1"/>
        <item x="0"/>
        <item x="5"/>
        <item t="default"/>
      </items>
    </pivotField>
    <pivotField dataField="1" numFmtId="9" showAll="0"/>
  </pivotFields>
  <rowFields count="1">
    <field x="0"/>
  </rowFields>
  <rowItems count="11">
    <i>
      <x/>
    </i>
    <i>
      <x v="1"/>
    </i>
    <i>
      <x v="2"/>
    </i>
    <i>
      <x v="3"/>
    </i>
    <i>
      <x v="4"/>
    </i>
    <i>
      <x v="5"/>
    </i>
    <i>
      <x v="6"/>
    </i>
    <i>
      <x v="7"/>
    </i>
    <i>
      <x v="8"/>
    </i>
    <i>
      <x v="9"/>
    </i>
    <i t="grand">
      <x/>
    </i>
  </rowItems>
  <colItems count="1">
    <i/>
  </colItems>
  <dataFields count="1">
    <dataField name="Average of Profit Margin%" fld="1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877D3-A9E5-4B21-84C5-262C3454889F}"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79:B88" firstHeaderRow="1" firstDataRow="1" firstDataCol="1"/>
  <pivotFields count="6">
    <pivotField axis="axisRow" showAll="0">
      <items count="9">
        <item x="0"/>
        <item x="1"/>
        <item x="2"/>
        <item x="3"/>
        <item x="4"/>
        <item x="5"/>
        <item x="6"/>
        <item x="7"/>
        <item t="default"/>
      </items>
    </pivotField>
    <pivotField showAll="0"/>
    <pivotField dataField="1" showAll="0"/>
    <pivotField showAll="0"/>
    <pivotField showAll="0"/>
    <pivotField numFmtId="9" showAll="0"/>
  </pivotFields>
  <rowFields count="1">
    <field x="0"/>
  </rowFields>
  <rowItems count="9">
    <i>
      <x/>
    </i>
    <i>
      <x v="1"/>
    </i>
    <i>
      <x v="2"/>
    </i>
    <i>
      <x v="3"/>
    </i>
    <i>
      <x v="4"/>
    </i>
    <i>
      <x v="5"/>
    </i>
    <i>
      <x v="6"/>
    </i>
    <i>
      <x v="7"/>
    </i>
    <i t="grand">
      <x/>
    </i>
  </rowItems>
  <colItems count="1">
    <i/>
  </colItems>
  <dataFields count="1">
    <dataField name="Sum of units_sold" fld="2" baseField="0" baseItem="0"/>
  </dataFields>
  <chartFormats count="1">
    <chartFormat chart="21"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CA06B7-1DEF-4140-9ED2-89987258AFC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B13" firstHeaderRow="1" firstDataRow="1" firstDataCol="1"/>
  <pivotFields count="4">
    <pivotField axis="axisRow" showAll="0">
      <items count="11">
        <item x="0"/>
        <item x="1"/>
        <item x="2"/>
        <item x="3"/>
        <item x="4"/>
        <item x="5"/>
        <item x="6"/>
        <item x="7"/>
        <item x="9"/>
        <item x="8"/>
        <item t="default"/>
      </items>
    </pivotField>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delivered_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5AEB17-D866-4E0B-B214-DD9B27C0C91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F11" firstHeaderRow="1" firstDataRow="1" firstDataCol="1"/>
  <pivotFields count="5">
    <pivotField axis="axisRow" showAll="0">
      <items count="9">
        <item x="0"/>
        <item x="1"/>
        <item x="2"/>
        <item x="3"/>
        <item x="4"/>
        <item x="5"/>
        <item x="6"/>
        <item x="7"/>
        <item t="default"/>
      </items>
    </pivotField>
    <pivotField showAll="0"/>
    <pivotField dataField="1" showAll="0"/>
    <pivotField showAll="0"/>
    <pivotField showAll="0"/>
  </pivotFields>
  <rowFields count="1">
    <field x="0"/>
  </rowFields>
  <rowItems count="9">
    <i>
      <x/>
    </i>
    <i>
      <x v="1"/>
    </i>
    <i>
      <x v="2"/>
    </i>
    <i>
      <x v="3"/>
    </i>
    <i>
      <x v="4"/>
    </i>
    <i>
      <x v="5"/>
    </i>
    <i>
      <x v="6"/>
    </i>
    <i>
      <x v="7"/>
    </i>
    <i t="grand">
      <x/>
    </i>
  </rowItems>
  <colItems count="1">
    <i/>
  </colItems>
  <dataFields count="1">
    <dataField name="Sum of ord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DC9040-3DD1-47FC-8689-A5229E95BE81}"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7:B58"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gross_revenue" fld="5" baseField="0" baseItem="0"/>
  </dataFields>
  <chartFormats count="1">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1E7900-CACA-4C3F-8400-720BD7C7C3AA}"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7:H58" firstHeaderRow="1" firstDataRow="1" firstDataCol="1"/>
  <pivotFields count="15">
    <pivotField axis="axisRow" showAll="0" sortType="descending">
      <items count="11">
        <item x="0"/>
        <item x="1"/>
        <item x="2"/>
        <item x="3"/>
        <item x="4"/>
        <item x="5"/>
        <item x="6"/>
        <item x="7"/>
        <item x="9"/>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9" showAll="0"/>
    <pivotField numFmtId="9" showAll="0"/>
    <pivotField showAll="0"/>
    <pivotField numFmtId="9" showAll="0"/>
  </pivotFields>
  <rowFields count="1">
    <field x="0"/>
  </rowFields>
  <rowItems count="11">
    <i>
      <x v="6"/>
    </i>
    <i>
      <x v="3"/>
    </i>
    <i>
      <x v="4"/>
    </i>
    <i>
      <x v="2"/>
    </i>
    <i>
      <x v="5"/>
    </i>
    <i>
      <x v="7"/>
    </i>
    <i>
      <x v="1"/>
    </i>
    <i>
      <x/>
    </i>
    <i>
      <x v="9"/>
    </i>
    <i>
      <x v="8"/>
    </i>
    <i t="grand">
      <x/>
    </i>
  </rowItems>
  <colItems count="1">
    <i/>
  </colItems>
  <dataFields count="1">
    <dataField name="Average of cancel_pct" fld="10" subtotal="average" baseField="0" baseItem="0"/>
  </dataFields>
  <chartFormats count="1">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B855DF-994D-4952-B126-0E931DE2290C}"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95:H102" firstHeaderRow="1" firstDataRow="1" firstDataCol="1"/>
  <pivotFields count="6">
    <pivotField axis="axisRow" showAll="0">
      <items count="7">
        <item x="4"/>
        <item x="2"/>
        <item x="5"/>
        <item x="0"/>
        <item x="1"/>
        <item x="3"/>
        <item t="default"/>
      </items>
    </pivotField>
    <pivotField showAll="0"/>
    <pivotField dataField="1" showAll="0"/>
    <pivotField showAll="0"/>
    <pivotField showAll="0"/>
    <pivotField showAll="0"/>
  </pivotFields>
  <rowFields count="1">
    <field x="0"/>
  </rowFields>
  <rowItems count="7">
    <i>
      <x/>
    </i>
    <i>
      <x v="1"/>
    </i>
    <i>
      <x v="2"/>
    </i>
    <i>
      <x v="3"/>
    </i>
    <i>
      <x v="4"/>
    </i>
    <i>
      <x v="5"/>
    </i>
    <i t="grand">
      <x/>
    </i>
  </rowItems>
  <colItems count="1">
    <i/>
  </colItems>
  <dataFields count="1">
    <dataField name="Sum of gross_revenue" fld="2"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48A168-64E8-40F2-B831-C2295E4CD970}"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3:E72" firstHeaderRow="1" firstDataRow="1" firstDataCol="1"/>
  <pivotFields count="6">
    <pivotField axis="axisRow" showAll="0">
      <items count="9">
        <item x="0"/>
        <item x="1"/>
        <item x="2"/>
        <item x="3"/>
        <item x="4"/>
        <item x="5"/>
        <item x="6"/>
        <item x="7"/>
        <item t="default"/>
      </items>
    </pivotField>
    <pivotField showAll="0"/>
    <pivotField showAll="0"/>
    <pivotField dataField="1" showAll="0"/>
    <pivotField showAll="0"/>
    <pivotField numFmtId="9" showAll="0"/>
  </pivotFields>
  <rowFields count="1">
    <field x="0"/>
  </rowFields>
  <rowItems count="9">
    <i>
      <x/>
    </i>
    <i>
      <x v="1"/>
    </i>
    <i>
      <x v="2"/>
    </i>
    <i>
      <x v="3"/>
    </i>
    <i>
      <x v="4"/>
    </i>
    <i>
      <x v="5"/>
    </i>
    <i>
      <x v="6"/>
    </i>
    <i>
      <x v="7"/>
    </i>
    <i t="grand">
      <x/>
    </i>
  </rowItems>
  <colItems count="1">
    <i/>
  </colItems>
  <dataFields count="1">
    <dataField name="Sum of revenue" fld="3" baseField="0" baseItem="0"/>
  </dataFields>
  <chartFormats count="1">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E0837E-4836-4F02-A069-465132273D1D}"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42" firstHeaderRow="1" firstDataRow="1" firstDataCol="1"/>
  <pivotFields count="15">
    <pivotField axis="axisRow" showAll="0">
      <items count="11">
        <item x="0"/>
        <item x="1"/>
        <item x="2"/>
        <item x="3"/>
        <item x="4"/>
        <item x="5"/>
        <item x="6"/>
        <item x="7"/>
        <item x="9"/>
        <item x="8"/>
        <item t="default"/>
      </items>
    </pivotField>
    <pivotField dataField="1"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Sum of total_orders" fld="1" baseField="0" baseItem="0"/>
  </dataFields>
  <chartFormats count="1">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E9D86D-7433-484B-8214-835E400A1352}"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1:E42"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dataField="1" numFmtId="9" showAll="0"/>
    <pivotField numFmtId="9" showAll="0"/>
    <pivotField showAll="0"/>
    <pivotField numFmtId="9" showAll="0"/>
  </pivotFields>
  <rowFields count="1">
    <field x="0"/>
  </rowFields>
  <rowItems count="11">
    <i>
      <x/>
    </i>
    <i>
      <x v="1"/>
    </i>
    <i>
      <x v="2"/>
    </i>
    <i>
      <x v="3"/>
    </i>
    <i>
      <x v="4"/>
    </i>
    <i>
      <x v="5"/>
    </i>
    <i>
      <x v="6"/>
    </i>
    <i>
      <x v="7"/>
    </i>
    <i>
      <x v="8"/>
    </i>
    <i>
      <x v="9"/>
    </i>
    <i t="grand">
      <x/>
    </i>
  </rowItems>
  <colItems count="1">
    <i/>
  </colItems>
  <dataFields count="1">
    <dataField name="Average of Return Percentage" fld="11" subtotal="average" baseField="0" baseItem="0" numFmtId="9"/>
  </dataFields>
  <chartFormats count="1">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0C498B-FC3E-4570-A89D-0BDE23C60301}"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63:H72" firstHeaderRow="1" firstDataRow="1" firstDataCol="1"/>
  <pivotFields count="6">
    <pivotField axis="axisRow" showAll="0">
      <items count="9">
        <item x="0"/>
        <item x="1"/>
        <item x="2"/>
        <item x="3"/>
        <item x="4"/>
        <item x="5"/>
        <item x="6"/>
        <item x="7"/>
        <item t="default"/>
      </items>
    </pivotField>
    <pivotField showAll="0"/>
    <pivotField showAll="0"/>
    <pivotField showAll="0"/>
    <pivotField showAll="0"/>
    <pivotField dataField="1" numFmtId="9" showAll="0"/>
  </pivotFields>
  <rowFields count="1">
    <field x="0"/>
  </rowFields>
  <rowItems count="9">
    <i>
      <x/>
    </i>
    <i>
      <x v="1"/>
    </i>
    <i>
      <x v="2"/>
    </i>
    <i>
      <x v="3"/>
    </i>
    <i>
      <x v="4"/>
    </i>
    <i>
      <x v="5"/>
    </i>
    <i>
      <x v="6"/>
    </i>
    <i>
      <x v="7"/>
    </i>
    <i t="grand">
      <x/>
    </i>
  </rowItems>
  <colItems count="1">
    <i/>
  </colItems>
  <dataFields count="1">
    <dataField name="Average of Profit Margin Percentage" fld="5" subtotal="average" baseField="0" baseItem="5" numFmtId="9"/>
  </dataFields>
  <chartFormats count="1">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A56003-12A2-4AB0-8C3E-BE1A809ABC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F24" firstHeaderRow="0" firstDataRow="1" firstDataCol="1"/>
  <pivotFields count="6">
    <pivotField axis="axisRow" showAll="0">
      <items count="7">
        <item x="4"/>
        <item x="2"/>
        <item x="5"/>
        <item x="0"/>
        <item x="1"/>
        <item x="3"/>
        <item t="default"/>
      </items>
    </pivotField>
    <pivotField showAll="0"/>
    <pivotField dataField="1" showAll="0"/>
    <pivotField dataField="1" showAll="0"/>
    <pivotField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gross_revenue" fld="2" baseField="0" baseItem="0"/>
    <dataField name="Sum of total_discount_given"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5965A1-ECD3-4FDA-874F-9792E46E9DC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5:B102" firstHeaderRow="1" firstDataRow="1" firstDataCol="1"/>
  <pivotFields count="6">
    <pivotField axis="axisRow" showAll="0">
      <items count="7">
        <item x="4"/>
        <item x="2"/>
        <item x="5"/>
        <item x="0"/>
        <item x="1"/>
        <item x="3"/>
        <item t="default"/>
      </items>
    </pivotField>
    <pivotField dataField="1"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Sum of orders_used" fld="1" baseField="0" baseItem="0"/>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0DBF8E-B4D6-4D83-8342-0B6EA7310E28}"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95:E102" firstHeaderRow="1" firstDataRow="1" firstDataCol="1"/>
  <pivotFields count="6">
    <pivotField axis="axisRow" showAll="0">
      <items count="7">
        <item x="4"/>
        <item x="2"/>
        <item x="5"/>
        <item x="0"/>
        <item x="1"/>
        <item x="3"/>
        <item t="default"/>
      </items>
    </pivotField>
    <pivotField showAll="0"/>
    <pivotField showAll="0"/>
    <pivotField dataField="1" showAll="0"/>
    <pivotField showAll="0"/>
    <pivotField showAll="0"/>
  </pivotFields>
  <rowFields count="1">
    <field x="0"/>
  </rowFields>
  <rowItems count="7">
    <i>
      <x/>
    </i>
    <i>
      <x v="1"/>
    </i>
    <i>
      <x v="2"/>
    </i>
    <i>
      <x v="3"/>
    </i>
    <i>
      <x v="4"/>
    </i>
    <i>
      <x v="5"/>
    </i>
    <i t="grand">
      <x/>
    </i>
  </rowItems>
  <colItems count="1">
    <i/>
  </colItems>
  <dataFields count="1">
    <dataField name="Sum of total_discount_given" fld="3"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D15B036-0DC3-4171-9E7B-EF69F44C1ADB}"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78:E89" firstHeaderRow="1" firstDataRow="1" firstDataCol="1"/>
  <pivotFields count="15">
    <pivotField axis="axisRow" showAll="0">
      <items count="11">
        <item x="0"/>
        <item x="1"/>
        <item x="2"/>
        <item x="3"/>
        <item x="4"/>
        <item x="5"/>
        <item x="6"/>
        <item x="7"/>
        <item x="9"/>
        <item x="8"/>
        <item t="default"/>
      </items>
    </pivotField>
    <pivotField showAll="0"/>
    <pivotField showAll="0"/>
    <pivotField showAll="0"/>
    <pivotField showAll="0"/>
    <pivotField showAll="0"/>
    <pivotField showAll="0"/>
    <pivotField showAll="0"/>
    <pivotField showAll="0"/>
    <pivotField showAll="0"/>
    <pivotField showAll="0"/>
    <pivotField numFmtId="9" showAll="0"/>
    <pivotField numFmtId="9" showAll="0"/>
    <pivotField dataField="1" showAll="0">
      <items count="11">
        <item x="9"/>
        <item x="6"/>
        <item x="2"/>
        <item x="4"/>
        <item x="7"/>
        <item x="8"/>
        <item x="3"/>
        <item x="1"/>
        <item x="0"/>
        <item x="5"/>
        <item t="default"/>
      </items>
    </pivotField>
    <pivotField numFmtId="9" showAll="0"/>
  </pivotFields>
  <rowFields count="1">
    <field x="0"/>
  </rowFields>
  <rowItems count="11">
    <i>
      <x/>
    </i>
    <i>
      <x v="1"/>
    </i>
    <i>
      <x v="2"/>
    </i>
    <i>
      <x v="3"/>
    </i>
    <i>
      <x v="4"/>
    </i>
    <i>
      <x v="5"/>
    </i>
    <i>
      <x v="6"/>
    </i>
    <i>
      <x v="7"/>
    </i>
    <i>
      <x v="8"/>
    </i>
    <i>
      <x v="9"/>
    </i>
    <i t="grand">
      <x/>
    </i>
  </rowItems>
  <colItems count="1">
    <i/>
  </colItems>
  <dataFields count="1">
    <dataField name="Sum of Profit" fld="13" baseField="0" baseItem="0"/>
  </dataFields>
  <chartFormats count="11">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 chart="4" format="13">
      <pivotArea type="data" outline="0" fieldPosition="0">
        <references count="2">
          <reference field="4294967294" count="1" selected="0">
            <x v="0"/>
          </reference>
          <reference field="0" count="1" selected="0">
            <x v="1"/>
          </reference>
        </references>
      </pivotArea>
    </chartFormat>
    <chartFormat chart="4" format="14">
      <pivotArea type="data" outline="0" fieldPosition="0">
        <references count="2">
          <reference field="4294967294" count="1" selected="0">
            <x v="0"/>
          </reference>
          <reference field="0" count="1" selected="0">
            <x v="2"/>
          </reference>
        </references>
      </pivotArea>
    </chartFormat>
    <chartFormat chart="4" format="15">
      <pivotArea type="data" outline="0" fieldPosition="0">
        <references count="2">
          <reference field="4294967294" count="1" selected="0">
            <x v="0"/>
          </reference>
          <reference field="0" count="1" selected="0">
            <x v="3"/>
          </reference>
        </references>
      </pivotArea>
    </chartFormat>
    <chartFormat chart="4" format="16">
      <pivotArea type="data" outline="0" fieldPosition="0">
        <references count="2">
          <reference field="4294967294" count="1" selected="0">
            <x v="0"/>
          </reference>
          <reference field="0" count="1" selected="0">
            <x v="4"/>
          </reference>
        </references>
      </pivotArea>
    </chartFormat>
    <chartFormat chart="4" format="17">
      <pivotArea type="data" outline="0" fieldPosition="0">
        <references count="2">
          <reference field="4294967294" count="1" selected="0">
            <x v="0"/>
          </reference>
          <reference field="0" count="1" selected="0">
            <x v="5"/>
          </reference>
        </references>
      </pivotArea>
    </chartFormat>
    <chartFormat chart="4" format="18">
      <pivotArea type="data" outline="0" fieldPosition="0">
        <references count="2">
          <reference field="4294967294" count="1" selected="0">
            <x v="0"/>
          </reference>
          <reference field="0" count="1" selected="0">
            <x v="6"/>
          </reference>
        </references>
      </pivotArea>
    </chartFormat>
    <chartFormat chart="4" format="19">
      <pivotArea type="data" outline="0" fieldPosition="0">
        <references count="2">
          <reference field="4294967294" count="1" selected="0">
            <x v="0"/>
          </reference>
          <reference field="0" count="1" selected="0">
            <x v="7"/>
          </reference>
        </references>
      </pivotArea>
    </chartFormat>
    <chartFormat chart="4" format="20">
      <pivotArea type="data" outline="0" fieldPosition="0">
        <references count="2">
          <reference field="4294967294" count="1" selected="0">
            <x v="0"/>
          </reference>
          <reference field="0" count="1" selected="0">
            <x v="8"/>
          </reference>
        </references>
      </pivotArea>
    </chartFormat>
    <chartFormat chart="4" format="2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6A1C267-75B5-4178-8100-378E8F9A36BF}"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22D4B1E9-0D21-4BF9-8378-91111B2D8D0F}" autoFormatId="16" applyNumberFormats="0" applyBorderFormats="0" applyFontFormats="0" applyPatternFormats="0" applyAlignmentFormats="0" applyWidthHeightFormats="0">
  <queryTableRefresh nextId="16" unboundColumnsRight="4">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dataBound="0" tableColumnId="12"/>
      <queryTableField id="13" dataBound="0" tableColumnId="13"/>
      <queryTableField id="14" dataBound="0" tableColumnId="14"/>
      <queryTableField id="15" dataBound="0"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85850528-D083-4941-B857-F3C402156FCC}"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692EB2CA-453F-4E49-A37A-543AF310E70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06383DDA-0EE6-42C9-B82B-8C51BF1ECD7A}" autoFormatId="16" applyNumberFormats="0" applyBorderFormats="0" applyFontFormats="0" applyPatternFormats="0" applyAlignmentFormats="0" applyWidthHeightFormats="0">
  <queryTableRefresh nextId="7" unboundColumnsRight="1">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7C320E45-E40B-407A-9FE0-A8CBF63767B6}" sourceName="store_id">
  <pivotTables>
    <pivotTable tabId="10" name="PivotTable22"/>
    <pivotTable tabId="10" name="PivotTable11"/>
    <pivotTable tabId="10" name="PivotTable12"/>
    <pivotTable tabId="10" name="PivotTable13"/>
    <pivotTable tabId="10" name="PivotTable14"/>
    <pivotTable tabId="10" name="PivotTable21"/>
    <pivotTable tabId="10" name="PivotTable8"/>
    <pivotTable tabId="10" name="PivotTable9"/>
  </pivotTables>
  <data>
    <tabular pivotCacheId="228183697">
      <items count="10">
        <i x="0" s="1"/>
        <i x="1" s="1"/>
        <i x="2" s="1"/>
        <i x="3" s="1"/>
        <i x="4" s="1"/>
        <i x="5" s="1"/>
        <i x="6" s="1"/>
        <i x="7"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489BC8-A7D9-4D47-9B6D-23911D34781C}" sourceName="category">
  <pivotTables>
    <pivotTable tabId="10" name="PivotTable17"/>
    <pivotTable tabId="10" name="PivotTable15"/>
    <pivotTable tabId="10" name="PivotTable16"/>
  </pivotTables>
  <data>
    <tabular pivotCacheId="1847964684">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code" xr10:uid="{934004CF-3ACA-4C33-9D51-2951A0135DA2}" sourceName="promo_code">
  <pivotTables>
    <pivotTable tabId="10" name="PivotTable24"/>
    <pivotTable tabId="10" name="PivotTable23"/>
    <pivotTable tabId="10" name="PivotTable25"/>
  </pivotTables>
  <data>
    <tabular pivotCacheId="231156383">
      <items count="6">
        <i x="4" s="1"/>
        <i x="2" s="1"/>
        <i x="5"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3B211C9B-CB4D-49F7-9918-F8EE47BFE638}" cache="Slicer_store_id" caption="store_id" columnCount="5" style="SlicerStyleDark1" rowHeight="1440000"/>
  <slicer name="category" xr10:uid="{20A66C34-FDF3-4DD9-9CDE-F27FB10DD16C}" cache="Slicer_category" caption="category" rowHeight="720000"/>
  <slicer name="promo_code" xr10:uid="{F723A60E-DD14-4A14-B68F-2D1CF5D05FF6}" cache="Slicer_promo_code" caption="promo_code" rowHeight="10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311E5E-758D-45A6-A534-7F0793E5B877}" name="vw_delivery_perf" displayName="vw_delivery_perf" ref="A1:D12" tableType="queryTable" totalsRowCount="1">
  <autoFilter ref="A1:D11" xr:uid="{6A311E5E-758D-45A6-A534-7F0793E5B877}"/>
  <tableColumns count="4">
    <tableColumn id="1" xr3:uid="{4925211B-79DF-4CCE-9B37-C2E93F2ED7D4}" uniqueName="1" name="store_id" queryTableFieldId="1" dataDxfId="11" totalsRowDxfId="10"/>
    <tableColumn id="2" xr3:uid="{4572410C-E36E-417E-9677-45B24D9BFE0E}" uniqueName="2" name="delivered_orders" queryTableFieldId="2"/>
    <tableColumn id="3" xr3:uid="{BA614363-9257-49BE-8EBA-AA64C7CD0E30}" uniqueName="3" name="avg_actual_min" queryTableFieldId="3"/>
    <tableColumn id="4" xr3:uid="{65E99469-CBB2-4E7F-B95D-A7CA9023FE7F}" uniqueName="4" name="on_time_pct"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B215BA-104A-4211-A562-0BFC08348EC2}" name="vw_store_pnl" displayName="vw_store_pnl" ref="A1:O11" tableType="queryTable" totalsRowShown="0">
  <autoFilter ref="A1:O11" xr:uid="{82B215BA-104A-4211-A562-0BFC08348EC2}"/>
  <tableColumns count="15">
    <tableColumn id="1" xr3:uid="{5391846F-F711-4333-80A6-9E60D3A1AF92}" uniqueName="1" name="store_id" queryTableFieldId="1" dataDxfId="9"/>
    <tableColumn id="2" xr3:uid="{CF73116B-7FBE-4CEB-8282-DE517B4C5F57}" uniqueName="2" name="total_orders" queryTableFieldId="2"/>
    <tableColumn id="3" xr3:uid="{1A901959-1CA8-4020-A2FA-45CFB10FD263}" uniqueName="3" name="delivered" queryTableFieldId="3"/>
    <tableColumn id="4" xr3:uid="{0F45B29B-FD1C-4880-8E8C-BF2B008AC53E}" uniqueName="4" name="returned" queryTableFieldId="4"/>
    <tableColumn id="5" xr3:uid="{881DD618-EE91-401C-A303-58364B86E0EF}" uniqueName="5" name="cancelled" queryTableFieldId="5"/>
    <tableColumn id="6" xr3:uid="{2970E40A-4152-4920-858E-7E1CF4945597}" uniqueName="6" name="gross_revenue" queryTableFieldId="6"/>
    <tableColumn id="7" xr3:uid="{49BD69CB-4030-4014-980B-575FE07A663E}" uniqueName="7" name="discounts" queryTableFieldId="7"/>
    <tableColumn id="8" xr3:uid="{28123786-3588-4481-9D6F-C40E44691CF1}" uniqueName="8" name="cogs" queryTableFieldId="8"/>
    <tableColumn id="9" xr3:uid="{96C47956-EAEF-43DD-B938-0C605FB8EB7B}" uniqueName="9" name="delivery_cost" queryTableFieldId="9"/>
    <tableColumn id="10" xr3:uid="{1A7F9E7A-C675-4F1F-BB71-2B20DCFC25C2}" uniqueName="10" name="contribution" queryTableFieldId="10"/>
    <tableColumn id="11" xr3:uid="{6FE248BC-AA08-4037-9265-7558B2E9432B}" uniqueName="11" name="cancel_pct" queryTableFieldId="11"/>
    <tableColumn id="12" xr3:uid="{A92A3487-E954-4031-87A6-161A0AC3F7EA}" uniqueName="12" name="Return Percentage" queryTableFieldId="12" dataDxfId="8">
      <calculatedColumnFormula>vw_store_pnl[[#This Row],[returned]]/vw_store_pnl[[#This Row],[total_orders]]</calculatedColumnFormula>
    </tableColumn>
    <tableColumn id="13" xr3:uid="{E825BA5C-4BC7-4DD5-B22C-85D3D32CC622}" uniqueName="13" name="Delivery Percent" queryTableFieldId="13" dataDxfId="7">
      <calculatedColumnFormula>vw_store_pnl[[#This Row],[delivered]]/vw_store_pnl[[#This Row],[total_orders]]</calculatedColumnFormula>
    </tableColumn>
    <tableColumn id="14" xr3:uid="{E3BD8DB4-EB1E-48C3-909A-83B3B50AAC73}" uniqueName="14" name="Profit" queryTableFieldId="14" dataDxfId="6">
      <calculatedColumnFormula>vw_store_pnl[[#This Row],[gross_revenue]]-vw_store_pnl[[#This Row],[discounts]]-vw_store_pnl[[#This Row],[cogs]]-vw_store_pnl[[#This Row],[delivery_cost]]</calculatedColumnFormula>
    </tableColumn>
    <tableColumn id="15" xr3:uid="{47A229AB-7ABE-4D6F-94F5-7D70C19FDAF8}" uniqueName="15" name="Profit Margin%" queryTableFieldId="15" dataDxfId="5">
      <calculatedColumnFormula>vw_store_pnl[[#This Row],[Profit]]/vw_store_pnl[[#This Row],[gross_revenue]]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BB7D1E-EE43-44B8-AEFD-5B0E06F4BBC6}" name="vw_root_cause" displayName="vw_root_cause" ref="A1:E49" tableType="queryTable" totalsRowShown="0">
  <autoFilter ref="A1:E49" xr:uid="{8ABB7D1E-EE43-44B8-AEFD-5B0E06F4BBC6}"/>
  <tableColumns count="5">
    <tableColumn id="1" xr3:uid="{BB3AFE6D-F241-4AF3-B7D2-A247C67997E5}" uniqueName="1" name="category" queryTableFieldId="1" dataDxfId="4"/>
    <tableColumn id="2" xr3:uid="{DC37ECF9-6363-4B84-81BF-85A20CDD94C3}" uniqueName="2" name="promo_code" queryTableFieldId="2" dataDxfId="3"/>
    <tableColumn id="3" xr3:uid="{C4178827-3C4F-46ED-8245-AF886801BEC4}" uniqueName="3" name="orders" queryTableFieldId="3"/>
    <tableColumn id="4" xr3:uid="{BCFCA2B9-95EE-4A99-8B2E-20330F58407B}" uniqueName="4" name="discount_cost" queryTableFieldId="4"/>
    <tableColumn id="5" xr3:uid="{69471565-5826-48EB-91C7-55972E74082E}" uniqueName="5" name="contribution"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96CF2-03F7-44C0-84D9-40C743719B1E}" name="vw_promo_impact" displayName="vw_promo_impact" ref="A1:F7" tableType="queryTable" totalsRowShown="0">
  <autoFilter ref="A1:F7" xr:uid="{96A96CF2-03F7-44C0-84D9-40C743719B1E}"/>
  <tableColumns count="6">
    <tableColumn id="1" xr3:uid="{D3D73AA0-2F8F-48DF-AA08-897859A1047C}" uniqueName="1" name="promo_code" queryTableFieldId="1" dataDxfId="2"/>
    <tableColumn id="2" xr3:uid="{CD1065DE-B72F-457B-A839-ED9E17917980}" uniqueName="2" name="orders_used" queryTableFieldId="2"/>
    <tableColumn id="3" xr3:uid="{2F5849C4-DECD-4D86-A767-A4928AC5D903}" uniqueName="3" name="gross_revenue" queryTableFieldId="3"/>
    <tableColumn id="4" xr3:uid="{5B7644A4-DA94-4227-89F4-058CEC939B94}" uniqueName="4" name="total_discount_given" queryTableFieldId="4"/>
    <tableColumn id="5" xr3:uid="{770C6604-7429-4ED5-AF50-1E0E8FE54169}" uniqueName="5" name="avg_discount" queryTableFieldId="5"/>
    <tableColumn id="6" xr3:uid="{B550822A-D138-4C0E-B9F9-442B2B08B73C}" uniqueName="6" name="contribution"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A586A-1F50-415E-A728-C7940965909B}" name="vw_category_perf" displayName="vw_category_perf" ref="A1:F9" tableType="queryTable" totalsRowShown="0">
  <autoFilter ref="A1:F9" xr:uid="{C28A586A-1F50-415E-A728-C7940965909B}"/>
  <tableColumns count="6">
    <tableColumn id="1" xr3:uid="{903046E1-3DD9-49B5-B107-4BE7672ABFD2}" uniqueName="1" name="category" queryTableFieldId="1" dataDxfId="1"/>
    <tableColumn id="2" xr3:uid="{E673CCF9-EE23-42CA-BAF6-8140CE293328}" uniqueName="2" name="orders" queryTableFieldId="2"/>
    <tableColumn id="3" xr3:uid="{9EF2E49B-7251-4215-AEE8-B5E4414D2A59}" uniqueName="3" name="units_sold" queryTableFieldId="3"/>
    <tableColumn id="4" xr3:uid="{C5331133-570F-4E65-9A10-F4690EB48656}" uniqueName="4" name="revenue" queryTableFieldId="4"/>
    <tableColumn id="5" xr3:uid="{5AC71271-4A9E-4A3E-9F3E-3D6C144CF6A3}" uniqueName="5" name="margin" queryTableFieldId="5"/>
    <tableColumn id="6" xr3:uid="{09E39E3D-508D-496E-913E-EEC0CC06D70F}" uniqueName="6" name="Profit Margin Percentage" queryTableFieldId="6" dataDxfId="0">
      <calculatedColumnFormula>vw_category_perf[[#This Row],[margin]]/vw_category_perf[[#This Row],[revenue]]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9DFFF-BE4C-42EA-B17A-07C495209B93}">
  <dimension ref="A1:F15"/>
  <sheetViews>
    <sheetView workbookViewId="0">
      <selection activeCell="B16" sqref="B16"/>
    </sheetView>
  </sheetViews>
  <sheetFormatPr defaultRowHeight="14.5" x14ac:dyDescent="0.35"/>
  <cols>
    <col min="1" max="1" width="11.36328125" bestFit="1" customWidth="1"/>
    <col min="2" max="2" width="18.26953125" customWidth="1"/>
    <col min="3" max="3" width="21" customWidth="1"/>
    <col min="4" max="4" width="15.1796875" customWidth="1"/>
  </cols>
  <sheetData>
    <row r="1" spans="1:6" ht="15" thickBot="1" x14ac:dyDescent="0.4">
      <c r="A1" s="2" t="s">
        <v>36</v>
      </c>
      <c r="B1" s="2" t="s">
        <v>45</v>
      </c>
      <c r="C1" s="2" t="s">
        <v>46</v>
      </c>
      <c r="D1" s="2" t="s">
        <v>47</v>
      </c>
    </row>
    <row r="2" spans="1:6" ht="15" thickTop="1" x14ac:dyDescent="0.35">
      <c r="A2" t="s">
        <v>8</v>
      </c>
      <c r="B2">
        <v>5772</v>
      </c>
      <c r="C2">
        <v>14.58</v>
      </c>
      <c r="D2">
        <v>59.55</v>
      </c>
      <c r="F2" s="4" t="str">
        <f>AVERAGE(vw_delivery_perf[on_time_pct]) &amp; "%"</f>
        <v>54.165%</v>
      </c>
    </row>
    <row r="3" spans="1:6" x14ac:dyDescent="0.35">
      <c r="A3" t="s">
        <v>9</v>
      </c>
      <c r="B3">
        <v>5584</v>
      </c>
      <c r="C3">
        <v>14.62</v>
      </c>
      <c r="D3">
        <v>59.17</v>
      </c>
    </row>
    <row r="4" spans="1:6" x14ac:dyDescent="0.35">
      <c r="A4" t="s">
        <v>10</v>
      </c>
      <c r="B4">
        <v>5001</v>
      </c>
      <c r="C4">
        <v>16.54</v>
      </c>
      <c r="D4">
        <v>34.65</v>
      </c>
    </row>
    <row r="5" spans="1:6" x14ac:dyDescent="0.35">
      <c r="A5" t="s">
        <v>11</v>
      </c>
      <c r="B5">
        <v>5333</v>
      </c>
      <c r="C5">
        <v>14.69</v>
      </c>
      <c r="D5">
        <v>57.98</v>
      </c>
    </row>
    <row r="6" spans="1:6" x14ac:dyDescent="0.35">
      <c r="A6" t="s">
        <v>12</v>
      </c>
      <c r="B6">
        <v>4436</v>
      </c>
      <c r="C6">
        <v>14.53</v>
      </c>
      <c r="D6">
        <v>59.56</v>
      </c>
    </row>
    <row r="7" spans="1:6" x14ac:dyDescent="0.35">
      <c r="A7" t="s">
        <v>13</v>
      </c>
      <c r="B7">
        <v>5811</v>
      </c>
      <c r="C7">
        <v>14.6</v>
      </c>
      <c r="D7">
        <v>59.01</v>
      </c>
    </row>
    <row r="8" spans="1:6" x14ac:dyDescent="0.35">
      <c r="A8" t="s">
        <v>14</v>
      </c>
      <c r="B8">
        <v>4763</v>
      </c>
      <c r="C8">
        <v>16.489999999999998</v>
      </c>
      <c r="D8">
        <v>34.049999999999997</v>
      </c>
    </row>
    <row r="9" spans="1:6" x14ac:dyDescent="0.35">
      <c r="A9" t="s">
        <v>15</v>
      </c>
      <c r="B9">
        <v>5041</v>
      </c>
      <c r="C9">
        <v>14.63</v>
      </c>
      <c r="D9">
        <v>59.23</v>
      </c>
    </row>
    <row r="10" spans="1:6" x14ac:dyDescent="0.35">
      <c r="A10" t="s">
        <v>16</v>
      </c>
      <c r="B10">
        <v>5057</v>
      </c>
      <c r="C10">
        <v>14.57</v>
      </c>
      <c r="D10">
        <v>58.75</v>
      </c>
    </row>
    <row r="11" spans="1:6" x14ac:dyDescent="0.35">
      <c r="A11" t="s">
        <v>17</v>
      </c>
      <c r="B11">
        <v>1712</v>
      </c>
      <c r="C11">
        <v>14.57</v>
      </c>
      <c r="D11">
        <v>59.7</v>
      </c>
    </row>
    <row r="15" spans="1:6" x14ac:dyDescent="0.35">
      <c r="B15">
        <f>COUNTA(vw_delivery_perf[store_id])</f>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09FE-35A0-4386-A1EC-2BFFD8F266DA}">
  <dimension ref="A1:O14"/>
  <sheetViews>
    <sheetView workbookViewId="0">
      <selection activeCell="E15" sqref="E15"/>
    </sheetView>
  </sheetViews>
  <sheetFormatPr defaultRowHeight="14.5" x14ac:dyDescent="0.35"/>
  <cols>
    <col min="1" max="1" width="10.54296875" bestFit="1" customWidth="1"/>
    <col min="2" max="2" width="13.90625" customWidth="1"/>
    <col min="3" max="4" width="10.54296875" bestFit="1" customWidth="1"/>
    <col min="5" max="5" width="15.1796875" bestFit="1" customWidth="1"/>
    <col min="6" max="6" width="10.81640625" bestFit="1" customWidth="1"/>
    <col min="7" max="7" width="10.54296875" bestFit="1" customWidth="1"/>
    <col min="8" max="8" width="10.81640625" bestFit="1" customWidth="1"/>
    <col min="9" max="9" width="10.54296875" bestFit="1" customWidth="1"/>
    <col min="10" max="11" width="11.54296875" bestFit="1" customWidth="1"/>
  </cols>
  <sheetData>
    <row r="1" spans="1:15" ht="29" x14ac:dyDescent="0.35">
      <c r="A1" s="2" t="s">
        <v>36</v>
      </c>
      <c r="B1" s="2" t="s">
        <v>37</v>
      </c>
      <c r="C1" s="2" t="s">
        <v>38</v>
      </c>
      <c r="D1" s="2" t="s">
        <v>39</v>
      </c>
      <c r="E1" s="2" t="s">
        <v>40</v>
      </c>
      <c r="F1" s="2" t="s">
        <v>31</v>
      </c>
      <c r="G1" s="2" t="s">
        <v>41</v>
      </c>
      <c r="H1" s="2" t="s">
        <v>42</v>
      </c>
      <c r="I1" s="2" t="s">
        <v>43</v>
      </c>
      <c r="J1" s="2" t="s">
        <v>34</v>
      </c>
      <c r="K1" s="2" t="s">
        <v>44</v>
      </c>
      <c r="L1" t="s">
        <v>69</v>
      </c>
      <c r="M1" t="s">
        <v>71</v>
      </c>
      <c r="N1" t="s">
        <v>79</v>
      </c>
      <c r="O1" t="s">
        <v>80</v>
      </c>
    </row>
    <row r="2" spans="1:15" x14ac:dyDescent="0.35">
      <c r="A2" t="s">
        <v>8</v>
      </c>
      <c r="B2">
        <v>6091</v>
      </c>
      <c r="C2">
        <v>5772</v>
      </c>
      <c r="D2">
        <v>201</v>
      </c>
      <c r="E2">
        <v>118</v>
      </c>
      <c r="F2">
        <v>3370538.3</v>
      </c>
      <c r="G2">
        <v>154609.76999999999</v>
      </c>
      <c r="H2">
        <v>2465200.65</v>
      </c>
      <c r="I2">
        <v>170790.95</v>
      </c>
      <c r="J2">
        <v>459494.7</v>
      </c>
      <c r="K2">
        <v>1.94</v>
      </c>
      <c r="L2" s="7">
        <f>vw_store_pnl[[#This Row],[returned]]/vw_store_pnl[[#This Row],[total_orders]]</f>
        <v>3.2999507470037763E-2</v>
      </c>
      <c r="M2" s="7">
        <f>vw_store_pnl[[#This Row],[delivered]]/vw_store_pnl[[#This Row],[total_orders]]</f>
        <v>0.94762764734854699</v>
      </c>
      <c r="N2">
        <f>vw_store_pnl[[#This Row],[gross_revenue]]-vw_store_pnl[[#This Row],[discounts]]-vw_store_pnl[[#This Row],[cogs]]-vw_store_pnl[[#This Row],[delivery_cost]]</f>
        <v>579936.92999999993</v>
      </c>
      <c r="O2" s="7">
        <f>vw_store_pnl[[#This Row],[Profit]]/vw_store_pnl[[#This Row],[gross_revenue]]</f>
        <v>0.17206062604302699</v>
      </c>
    </row>
    <row r="3" spans="1:15" x14ac:dyDescent="0.35">
      <c r="A3" t="s">
        <v>9</v>
      </c>
      <c r="B3">
        <v>5877</v>
      </c>
      <c r="C3">
        <v>5584</v>
      </c>
      <c r="D3">
        <v>178</v>
      </c>
      <c r="E3">
        <v>115</v>
      </c>
      <c r="F3">
        <v>3269608.95</v>
      </c>
      <c r="G3">
        <v>148836.14000000001</v>
      </c>
      <c r="H3">
        <v>2392695.9700000002</v>
      </c>
      <c r="I3">
        <v>164705.42000000001</v>
      </c>
      <c r="J3">
        <v>457583.42</v>
      </c>
      <c r="K3">
        <v>1.96</v>
      </c>
      <c r="L3" s="7">
        <f>vw_store_pnl[[#This Row],[returned]]/vw_store_pnl[[#This Row],[total_orders]]</f>
        <v>3.0287561681129827E-2</v>
      </c>
      <c r="M3" s="7">
        <f>vw_store_pnl[[#This Row],[delivered]]/vw_store_pnl[[#This Row],[total_orders]]</f>
        <v>0.95014463161476947</v>
      </c>
      <c r="N3">
        <f>vw_store_pnl[[#This Row],[gross_revenue]]-vw_store_pnl[[#This Row],[discounts]]-vw_store_pnl[[#This Row],[cogs]]-vw_store_pnl[[#This Row],[delivery_cost]]</f>
        <v>563371.41999999981</v>
      </c>
      <c r="O3" s="7">
        <f>vw_store_pnl[[#This Row],[Profit]]/vw_store_pnl[[#This Row],[gross_revenue]]</f>
        <v>0.17230544343842702</v>
      </c>
    </row>
    <row r="4" spans="1:15" x14ac:dyDescent="0.35">
      <c r="A4" t="s">
        <v>10</v>
      </c>
      <c r="B4">
        <v>5564</v>
      </c>
      <c r="C4">
        <v>5001</v>
      </c>
      <c r="D4">
        <v>442</v>
      </c>
      <c r="E4">
        <v>121</v>
      </c>
      <c r="F4">
        <v>3051694.83</v>
      </c>
      <c r="G4">
        <v>278306.36</v>
      </c>
      <c r="H4">
        <v>2234257.9700000002</v>
      </c>
      <c r="I4">
        <v>233600.32</v>
      </c>
      <c r="J4">
        <v>79735.03</v>
      </c>
      <c r="K4">
        <v>2.17</v>
      </c>
      <c r="L4" s="7">
        <f>vw_store_pnl[[#This Row],[returned]]/vw_store_pnl[[#This Row],[total_orders]]</f>
        <v>7.9439252336448593E-2</v>
      </c>
      <c r="M4" s="7">
        <f>vw_store_pnl[[#This Row],[delivered]]/vw_store_pnl[[#This Row],[total_orders]]</f>
        <v>0.8988138030194105</v>
      </c>
      <c r="N4">
        <f>vw_store_pnl[[#This Row],[gross_revenue]]-vw_store_pnl[[#This Row],[discounts]]-vw_store_pnl[[#This Row],[cogs]]-vw_store_pnl[[#This Row],[delivery_cost]]</f>
        <v>305530.18</v>
      </c>
      <c r="O4" s="7">
        <f>vw_store_pnl[[#This Row],[Profit]]/vw_store_pnl[[#This Row],[gross_revenue]]</f>
        <v>0.10011819563229393</v>
      </c>
    </row>
    <row r="5" spans="1:15" x14ac:dyDescent="0.35">
      <c r="A5" t="s">
        <v>11</v>
      </c>
      <c r="B5">
        <v>5622</v>
      </c>
      <c r="C5">
        <v>5333</v>
      </c>
      <c r="D5">
        <v>166</v>
      </c>
      <c r="E5">
        <v>123</v>
      </c>
      <c r="F5">
        <v>3109656.42</v>
      </c>
      <c r="G5">
        <v>139633.01999999999</v>
      </c>
      <c r="H5">
        <v>2273753.0299999998</v>
      </c>
      <c r="I5">
        <v>157039.62</v>
      </c>
      <c r="J5">
        <v>444250.81</v>
      </c>
      <c r="K5">
        <v>2.19</v>
      </c>
      <c r="L5" s="7">
        <f>vw_store_pnl[[#This Row],[returned]]/vw_store_pnl[[#This Row],[total_orders]]</f>
        <v>2.9526858769121308E-2</v>
      </c>
      <c r="M5" s="7">
        <f>vw_store_pnl[[#This Row],[delivered]]/vw_store_pnl[[#This Row],[total_orders]]</f>
        <v>0.94859480611881897</v>
      </c>
      <c r="N5">
        <f>vw_store_pnl[[#This Row],[gross_revenue]]-vw_store_pnl[[#This Row],[discounts]]-vw_store_pnl[[#This Row],[cogs]]-vw_store_pnl[[#This Row],[delivery_cost]]</f>
        <v>539230.75000000012</v>
      </c>
      <c r="O5" s="7">
        <f>vw_store_pnl[[#This Row],[Profit]]/vw_store_pnl[[#This Row],[gross_revenue]]</f>
        <v>0.17340525034595305</v>
      </c>
    </row>
    <row r="6" spans="1:15" x14ac:dyDescent="0.35">
      <c r="A6" t="s">
        <v>12</v>
      </c>
      <c r="B6">
        <v>4688</v>
      </c>
      <c r="C6">
        <v>4436</v>
      </c>
      <c r="D6">
        <v>150</v>
      </c>
      <c r="E6">
        <v>102</v>
      </c>
      <c r="F6">
        <v>2586827.0299999998</v>
      </c>
      <c r="G6">
        <v>116419.38</v>
      </c>
      <c r="H6">
        <v>1889809.89</v>
      </c>
      <c r="I6">
        <v>130964.33</v>
      </c>
      <c r="J6">
        <v>359050.77</v>
      </c>
      <c r="K6">
        <v>2.1800000000000002</v>
      </c>
      <c r="L6" s="7">
        <f>vw_store_pnl[[#This Row],[returned]]/vw_store_pnl[[#This Row],[total_orders]]</f>
        <v>3.1996587030716721E-2</v>
      </c>
      <c r="M6" s="7">
        <f>vw_store_pnl[[#This Row],[delivered]]/vw_store_pnl[[#This Row],[total_orders]]</f>
        <v>0.94624573378839594</v>
      </c>
      <c r="N6">
        <f>vw_store_pnl[[#This Row],[gross_revenue]]-vw_store_pnl[[#This Row],[discounts]]-vw_store_pnl[[#This Row],[cogs]]-vw_store_pnl[[#This Row],[delivery_cost]]</f>
        <v>449633.43</v>
      </c>
      <c r="O6" s="7">
        <f>vw_store_pnl[[#This Row],[Profit]]/vw_store_pnl[[#This Row],[gross_revenue]]</f>
        <v>0.17381658100271205</v>
      </c>
    </row>
    <row r="7" spans="1:15" x14ac:dyDescent="0.35">
      <c r="A7" t="s">
        <v>13</v>
      </c>
      <c r="B7">
        <v>6153</v>
      </c>
      <c r="C7">
        <v>5811</v>
      </c>
      <c r="D7">
        <v>210</v>
      </c>
      <c r="E7">
        <v>132</v>
      </c>
      <c r="F7">
        <v>3347415.33</v>
      </c>
      <c r="G7">
        <v>138560.88</v>
      </c>
      <c r="H7">
        <v>2455151.4</v>
      </c>
      <c r="I7">
        <v>172101.53</v>
      </c>
      <c r="J7">
        <v>460390.89</v>
      </c>
      <c r="K7">
        <v>2.15</v>
      </c>
      <c r="L7" s="7">
        <f>vw_store_pnl[[#This Row],[returned]]/vw_store_pnl[[#This Row],[total_orders]]</f>
        <v>3.4129692832764506E-2</v>
      </c>
      <c r="M7" s="7">
        <f>vw_store_pnl[[#This Row],[delivered]]/vw_store_pnl[[#This Row],[total_orders]]</f>
        <v>0.94441735738664068</v>
      </c>
      <c r="N7">
        <f>vw_store_pnl[[#This Row],[gross_revenue]]-vw_store_pnl[[#This Row],[discounts]]-vw_store_pnl[[#This Row],[cogs]]-vw_store_pnl[[#This Row],[delivery_cost]]</f>
        <v>581601.52000000025</v>
      </c>
      <c r="O7" s="7">
        <f>vw_store_pnl[[#This Row],[Profit]]/vw_store_pnl[[#This Row],[gross_revenue]]</f>
        <v>0.17374644693402902</v>
      </c>
    </row>
    <row r="8" spans="1:15" x14ac:dyDescent="0.35">
      <c r="A8" t="s">
        <v>14</v>
      </c>
      <c r="B8">
        <v>5687</v>
      </c>
      <c r="C8">
        <v>4763</v>
      </c>
      <c r="D8">
        <v>797</v>
      </c>
      <c r="E8">
        <v>127</v>
      </c>
      <c r="F8">
        <v>3123166.37</v>
      </c>
      <c r="G8">
        <v>284563.71999999997</v>
      </c>
      <c r="H8">
        <v>2396284.7599999998</v>
      </c>
      <c r="I8">
        <v>239530.15</v>
      </c>
      <c r="J8">
        <v>-202668.46</v>
      </c>
      <c r="K8">
        <v>2.23</v>
      </c>
      <c r="L8" s="7">
        <f>vw_store_pnl[[#This Row],[returned]]/vw_store_pnl[[#This Row],[total_orders]]</f>
        <v>0.14014418850008792</v>
      </c>
      <c r="M8" s="7">
        <f>vw_store_pnl[[#This Row],[delivered]]/vw_store_pnl[[#This Row],[total_orders]]</f>
        <v>0.8375241779497099</v>
      </c>
      <c r="N8">
        <f>vw_store_pnl[[#This Row],[gross_revenue]]-vw_store_pnl[[#This Row],[discounts]]-vw_store_pnl[[#This Row],[cogs]]-vw_store_pnl[[#This Row],[delivery_cost]]</f>
        <v>202787.7400000006</v>
      </c>
      <c r="O8" s="7">
        <f>vw_store_pnl[[#This Row],[Profit]]/vw_store_pnl[[#This Row],[gross_revenue]]</f>
        <v>6.4930175333567194E-2</v>
      </c>
    </row>
    <row r="9" spans="1:15" x14ac:dyDescent="0.35">
      <c r="A9" t="s">
        <v>15</v>
      </c>
      <c r="B9">
        <v>5309</v>
      </c>
      <c r="C9">
        <v>5041</v>
      </c>
      <c r="D9">
        <v>162</v>
      </c>
      <c r="E9">
        <v>106</v>
      </c>
      <c r="F9">
        <v>2916363.05</v>
      </c>
      <c r="G9">
        <v>124864.39</v>
      </c>
      <c r="H9">
        <v>2130609.29</v>
      </c>
      <c r="I9">
        <v>148857.98000000001</v>
      </c>
      <c r="J9">
        <v>423669.02</v>
      </c>
      <c r="K9">
        <v>2</v>
      </c>
      <c r="L9" s="7">
        <f>vw_store_pnl[[#This Row],[returned]]/vw_store_pnl[[#This Row],[total_orders]]</f>
        <v>3.0514221133923526E-2</v>
      </c>
      <c r="M9" s="7">
        <f>vw_store_pnl[[#This Row],[delivered]]/vw_store_pnl[[#This Row],[total_orders]]</f>
        <v>0.94951968355622529</v>
      </c>
      <c r="N9">
        <f>vw_store_pnl[[#This Row],[gross_revenue]]-vw_store_pnl[[#This Row],[discounts]]-vw_store_pnl[[#This Row],[cogs]]-vw_store_pnl[[#This Row],[delivery_cost]]</f>
        <v>512031.38999999966</v>
      </c>
      <c r="O9" s="7">
        <f>vw_store_pnl[[#This Row],[Profit]]/vw_store_pnl[[#This Row],[gross_revenue]]</f>
        <v>0.1755718959613069</v>
      </c>
    </row>
    <row r="10" spans="1:15" x14ac:dyDescent="0.35">
      <c r="A10" t="s">
        <v>16</v>
      </c>
      <c r="B10">
        <v>5327</v>
      </c>
      <c r="C10">
        <v>5057</v>
      </c>
      <c r="D10">
        <v>178</v>
      </c>
      <c r="E10">
        <v>92</v>
      </c>
      <c r="F10">
        <v>2941966.31</v>
      </c>
      <c r="G10">
        <v>134248.47</v>
      </c>
      <c r="H10">
        <v>2144427.5299999998</v>
      </c>
      <c r="I10">
        <v>149503.57999999999</v>
      </c>
      <c r="J10">
        <v>409561.23</v>
      </c>
      <c r="K10">
        <v>1.73</v>
      </c>
      <c r="L10" s="7">
        <f>vw_store_pnl[[#This Row],[returned]]/vw_store_pnl[[#This Row],[total_orders]]</f>
        <v>3.3414679932419748E-2</v>
      </c>
      <c r="M10" s="7">
        <f>vw_store_pnl[[#This Row],[delivered]]/vw_store_pnl[[#This Row],[total_orders]]</f>
        <v>0.9493148113384644</v>
      </c>
      <c r="N10">
        <f>vw_store_pnl[[#This Row],[gross_revenue]]-vw_store_pnl[[#This Row],[discounts]]-vw_store_pnl[[#This Row],[cogs]]-vw_store_pnl[[#This Row],[delivery_cost]]</f>
        <v>513786.7300000001</v>
      </c>
      <c r="O10" s="7">
        <f>vw_store_pnl[[#This Row],[Profit]]/vw_store_pnl[[#This Row],[gross_revenue]]</f>
        <v>0.17464058927309745</v>
      </c>
    </row>
    <row r="11" spans="1:15" x14ac:dyDescent="0.35">
      <c r="A11" t="s">
        <v>17</v>
      </c>
      <c r="B11">
        <v>1815</v>
      </c>
      <c r="C11">
        <v>1712</v>
      </c>
      <c r="D11">
        <v>72</v>
      </c>
      <c r="E11">
        <v>31</v>
      </c>
      <c r="F11">
        <v>1008430.21</v>
      </c>
      <c r="G11">
        <v>44138.67</v>
      </c>
      <c r="H11">
        <v>738397.88</v>
      </c>
      <c r="I11">
        <v>50728.75</v>
      </c>
      <c r="J11">
        <v>134691.69</v>
      </c>
      <c r="K11">
        <v>1.71</v>
      </c>
      <c r="L11" s="7">
        <f>vw_store_pnl[[#This Row],[returned]]/vw_store_pnl[[#This Row],[total_orders]]</f>
        <v>3.9669421487603308E-2</v>
      </c>
      <c r="M11" s="7">
        <f>vw_store_pnl[[#This Row],[delivered]]/vw_store_pnl[[#This Row],[total_orders]]</f>
        <v>0.94325068870523421</v>
      </c>
      <c r="N11">
        <f>vw_store_pnl[[#This Row],[gross_revenue]]-vw_store_pnl[[#This Row],[discounts]]-vw_store_pnl[[#This Row],[cogs]]-vw_store_pnl[[#This Row],[delivery_cost]]</f>
        <v>175164.90999999992</v>
      </c>
      <c r="O11" s="7">
        <f>vw_store_pnl[[#This Row],[Profit]]/vw_store_pnl[[#This Row],[gross_revenue]]</f>
        <v>0.17370057765326161</v>
      </c>
    </row>
    <row r="13" spans="1:15" x14ac:dyDescent="0.35">
      <c r="G13" s="7"/>
    </row>
    <row r="14" spans="1:15" x14ac:dyDescent="0.35">
      <c r="C14">
        <f>SUM(vw_store_pnl[total_orders])</f>
        <v>52133</v>
      </c>
      <c r="E14" s="5" t="str">
        <f>ROUND(SUM(vw_store_pnl[gross_revenue])/10000000,2) &amp; "CR"</f>
        <v>2.87CR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A67E-BA28-48D7-8B26-E8009301A075}">
  <dimension ref="A1:I49"/>
  <sheetViews>
    <sheetView workbookViewId="0">
      <selection activeCell="B9" sqref="A2:E49"/>
    </sheetView>
  </sheetViews>
  <sheetFormatPr defaultRowHeight="14.5" x14ac:dyDescent="0.35"/>
  <cols>
    <col min="1" max="1" width="16.81640625" bestFit="1" customWidth="1"/>
    <col min="2" max="2" width="14.54296875" customWidth="1"/>
    <col min="3" max="3" width="9.90625" bestFit="1" customWidth="1"/>
    <col min="4" max="4" width="15.453125" customWidth="1"/>
    <col min="5" max="5" width="15.1796875" customWidth="1"/>
  </cols>
  <sheetData>
    <row r="1" spans="1:9" ht="29" x14ac:dyDescent="0.35">
      <c r="A1" s="2" t="s">
        <v>24</v>
      </c>
      <c r="B1" s="2" t="s">
        <v>29</v>
      </c>
      <c r="C1" s="2" t="s">
        <v>25</v>
      </c>
      <c r="D1" s="2" t="s">
        <v>35</v>
      </c>
      <c r="E1" s="2" t="s">
        <v>34</v>
      </c>
    </row>
    <row r="2" spans="1:9" x14ac:dyDescent="0.35">
      <c r="A2" t="s">
        <v>0</v>
      </c>
      <c r="B2" t="s">
        <v>22</v>
      </c>
      <c r="C2">
        <v>22</v>
      </c>
      <c r="D2">
        <v>3450</v>
      </c>
      <c r="E2">
        <v>1282.72</v>
      </c>
    </row>
    <row r="3" spans="1:9" x14ac:dyDescent="0.35">
      <c r="A3" t="s">
        <v>0</v>
      </c>
      <c r="B3" t="s">
        <v>20</v>
      </c>
      <c r="C3">
        <v>522</v>
      </c>
      <c r="D3">
        <v>42450</v>
      </c>
      <c r="E3">
        <v>21910.59</v>
      </c>
      <c r="H3" s="7">
        <v>0.06</v>
      </c>
    </row>
    <row r="4" spans="1:9" x14ac:dyDescent="0.35">
      <c r="A4" t="s">
        <v>0</v>
      </c>
      <c r="B4" t="s">
        <v>23</v>
      </c>
      <c r="C4">
        <v>389</v>
      </c>
      <c r="D4">
        <v>145041</v>
      </c>
      <c r="E4">
        <v>-113783.06</v>
      </c>
    </row>
    <row r="5" spans="1:9" x14ac:dyDescent="0.35">
      <c r="A5" t="s">
        <v>0</v>
      </c>
      <c r="B5" t="s">
        <v>18</v>
      </c>
      <c r="C5">
        <v>268</v>
      </c>
      <c r="D5">
        <v>29500</v>
      </c>
      <c r="E5">
        <v>6032.13</v>
      </c>
    </row>
    <row r="6" spans="1:9" x14ac:dyDescent="0.35">
      <c r="A6" t="s">
        <v>0</v>
      </c>
      <c r="B6" t="s">
        <v>19</v>
      </c>
      <c r="C6">
        <v>905</v>
      </c>
      <c r="D6">
        <v>125538.76</v>
      </c>
      <c r="E6">
        <v>-34580.120000000003</v>
      </c>
    </row>
    <row r="7" spans="1:9" x14ac:dyDescent="0.35">
      <c r="A7" t="s">
        <v>0</v>
      </c>
      <c r="B7" t="s">
        <v>21</v>
      </c>
      <c r="C7">
        <v>746</v>
      </c>
      <c r="D7">
        <v>74794.44</v>
      </c>
      <c r="E7">
        <v>-1000.12</v>
      </c>
    </row>
    <row r="8" spans="1:9" x14ac:dyDescent="0.35">
      <c r="A8" t="s">
        <v>1</v>
      </c>
      <c r="B8" t="s">
        <v>22</v>
      </c>
      <c r="C8">
        <v>53</v>
      </c>
      <c r="D8">
        <v>10650</v>
      </c>
      <c r="E8">
        <v>4775.6000000000004</v>
      </c>
      <c r="I8">
        <f>SUM(vw_root_cause[contribution])</f>
        <v>-757929.05000000016</v>
      </c>
    </row>
    <row r="9" spans="1:9" x14ac:dyDescent="0.35">
      <c r="A9" t="s">
        <v>1</v>
      </c>
      <c r="B9" t="s">
        <v>20</v>
      </c>
      <c r="C9">
        <v>1149</v>
      </c>
      <c r="D9">
        <v>105258.63</v>
      </c>
      <c r="E9">
        <v>68598.86</v>
      </c>
    </row>
    <row r="10" spans="1:9" x14ac:dyDescent="0.35">
      <c r="A10" t="s">
        <v>1</v>
      </c>
      <c r="B10" t="s">
        <v>23</v>
      </c>
      <c r="C10">
        <v>678</v>
      </c>
      <c r="D10">
        <v>303419.84999999998</v>
      </c>
      <c r="E10">
        <v>-209403.4</v>
      </c>
    </row>
    <row r="11" spans="1:9" x14ac:dyDescent="0.35">
      <c r="A11" t="s">
        <v>1</v>
      </c>
      <c r="B11" t="s">
        <v>18</v>
      </c>
      <c r="C11">
        <v>510</v>
      </c>
      <c r="D11">
        <v>64500</v>
      </c>
      <c r="E11">
        <v>35308.9</v>
      </c>
    </row>
    <row r="12" spans="1:9" x14ac:dyDescent="0.35">
      <c r="A12" t="s">
        <v>1</v>
      </c>
      <c r="B12" t="s">
        <v>19</v>
      </c>
      <c r="C12">
        <v>1789</v>
      </c>
      <c r="D12">
        <v>299688.90999999997</v>
      </c>
      <c r="E12">
        <v>-38760.74</v>
      </c>
    </row>
    <row r="13" spans="1:9" x14ac:dyDescent="0.35">
      <c r="A13" t="s">
        <v>1</v>
      </c>
      <c r="B13" t="s">
        <v>21</v>
      </c>
      <c r="C13">
        <v>1590</v>
      </c>
      <c r="D13">
        <v>189537.48</v>
      </c>
      <c r="E13">
        <v>42087.91</v>
      </c>
    </row>
    <row r="14" spans="1:9" x14ac:dyDescent="0.35">
      <c r="A14" t="s">
        <v>2</v>
      </c>
      <c r="B14" t="s">
        <v>22</v>
      </c>
      <c r="C14">
        <v>39</v>
      </c>
      <c r="D14">
        <v>7350</v>
      </c>
      <c r="E14">
        <v>2178</v>
      </c>
    </row>
    <row r="15" spans="1:9" x14ac:dyDescent="0.35">
      <c r="A15" t="s">
        <v>2</v>
      </c>
      <c r="B15" t="s">
        <v>20</v>
      </c>
      <c r="C15">
        <v>871</v>
      </c>
      <c r="D15">
        <v>77168.98</v>
      </c>
      <c r="E15">
        <v>24153.73</v>
      </c>
    </row>
    <row r="16" spans="1:9" x14ac:dyDescent="0.35">
      <c r="A16" t="s">
        <v>2</v>
      </c>
      <c r="B16" t="s">
        <v>23</v>
      </c>
      <c r="C16">
        <v>606</v>
      </c>
      <c r="D16">
        <v>257554.67</v>
      </c>
      <c r="E16">
        <v>-197637.56</v>
      </c>
    </row>
    <row r="17" spans="1:5" x14ac:dyDescent="0.35">
      <c r="A17" t="s">
        <v>2</v>
      </c>
      <c r="B17" t="s">
        <v>18</v>
      </c>
      <c r="C17">
        <v>402</v>
      </c>
      <c r="D17">
        <v>47700</v>
      </c>
      <c r="E17">
        <v>6703.53</v>
      </c>
    </row>
    <row r="18" spans="1:5" x14ac:dyDescent="0.35">
      <c r="A18" t="s">
        <v>2</v>
      </c>
      <c r="B18" t="s">
        <v>19</v>
      </c>
      <c r="C18">
        <v>1312</v>
      </c>
      <c r="D18">
        <v>201235.52</v>
      </c>
      <c r="E18">
        <v>-53523.89</v>
      </c>
    </row>
    <row r="19" spans="1:5" x14ac:dyDescent="0.35">
      <c r="A19" t="s">
        <v>2</v>
      </c>
      <c r="B19" t="s">
        <v>21</v>
      </c>
      <c r="C19">
        <v>1150</v>
      </c>
      <c r="D19">
        <v>130680.61</v>
      </c>
      <c r="E19">
        <v>-9454.65</v>
      </c>
    </row>
    <row r="20" spans="1:5" x14ac:dyDescent="0.35">
      <c r="A20" t="s">
        <v>3</v>
      </c>
      <c r="B20" t="s">
        <v>22</v>
      </c>
      <c r="C20">
        <v>34</v>
      </c>
      <c r="D20">
        <v>6300</v>
      </c>
      <c r="E20">
        <v>4036.33</v>
      </c>
    </row>
    <row r="21" spans="1:5" x14ac:dyDescent="0.35">
      <c r="A21" t="s">
        <v>3</v>
      </c>
      <c r="B21" t="s">
        <v>20</v>
      </c>
      <c r="C21">
        <v>955</v>
      </c>
      <c r="D21">
        <v>88200</v>
      </c>
      <c r="E21">
        <v>34686.22</v>
      </c>
    </row>
    <row r="22" spans="1:5" x14ac:dyDescent="0.35">
      <c r="A22" t="s">
        <v>3</v>
      </c>
      <c r="B22" t="s">
        <v>23</v>
      </c>
      <c r="C22">
        <v>733</v>
      </c>
      <c r="D22">
        <v>320446.57</v>
      </c>
      <c r="E22">
        <v>-240532.19</v>
      </c>
    </row>
    <row r="23" spans="1:5" x14ac:dyDescent="0.35">
      <c r="A23" t="s">
        <v>3</v>
      </c>
      <c r="B23" t="s">
        <v>18</v>
      </c>
      <c r="C23">
        <v>507</v>
      </c>
      <c r="D23">
        <v>63533</v>
      </c>
      <c r="E23">
        <v>24093.47</v>
      </c>
    </row>
    <row r="24" spans="1:5" x14ac:dyDescent="0.35">
      <c r="A24" t="s">
        <v>3</v>
      </c>
      <c r="B24" t="s">
        <v>19</v>
      </c>
      <c r="C24">
        <v>1605</v>
      </c>
      <c r="D24">
        <v>256674.29</v>
      </c>
      <c r="E24">
        <v>-39046.89</v>
      </c>
    </row>
    <row r="25" spans="1:5" x14ac:dyDescent="0.35">
      <c r="A25" t="s">
        <v>3</v>
      </c>
      <c r="B25" t="s">
        <v>21</v>
      </c>
      <c r="C25">
        <v>1409</v>
      </c>
      <c r="D25">
        <v>160924.63</v>
      </c>
      <c r="E25">
        <v>15104.07</v>
      </c>
    </row>
    <row r="26" spans="1:5" x14ac:dyDescent="0.35">
      <c r="A26" t="s">
        <v>4</v>
      </c>
      <c r="B26" t="s">
        <v>22</v>
      </c>
      <c r="C26">
        <v>36</v>
      </c>
      <c r="D26">
        <v>7500</v>
      </c>
      <c r="E26">
        <v>3514.41</v>
      </c>
    </row>
    <row r="27" spans="1:5" x14ac:dyDescent="0.35">
      <c r="A27" t="s">
        <v>4</v>
      </c>
      <c r="B27" t="s">
        <v>20</v>
      </c>
      <c r="C27">
        <v>963</v>
      </c>
      <c r="D27">
        <v>85558.17</v>
      </c>
      <c r="E27">
        <v>70567.63</v>
      </c>
    </row>
    <row r="28" spans="1:5" x14ac:dyDescent="0.35">
      <c r="A28" t="s">
        <v>4</v>
      </c>
      <c r="B28" t="s">
        <v>23</v>
      </c>
      <c r="C28">
        <v>532</v>
      </c>
      <c r="D28">
        <v>229839.35999999999</v>
      </c>
      <c r="E28">
        <v>-148470.53</v>
      </c>
    </row>
    <row r="29" spans="1:5" x14ac:dyDescent="0.35">
      <c r="A29" t="s">
        <v>4</v>
      </c>
      <c r="B29" t="s">
        <v>18</v>
      </c>
      <c r="C29">
        <v>445</v>
      </c>
      <c r="D29">
        <v>53060.78</v>
      </c>
      <c r="E29">
        <v>31215.19</v>
      </c>
    </row>
    <row r="30" spans="1:5" x14ac:dyDescent="0.35">
      <c r="A30" t="s">
        <v>4</v>
      </c>
      <c r="B30" t="s">
        <v>19</v>
      </c>
      <c r="C30">
        <v>1518</v>
      </c>
      <c r="D30">
        <v>230681.76</v>
      </c>
      <c r="E30">
        <v>1713.4</v>
      </c>
    </row>
    <row r="31" spans="1:5" x14ac:dyDescent="0.35">
      <c r="A31" t="s">
        <v>4</v>
      </c>
      <c r="B31" t="s">
        <v>21</v>
      </c>
      <c r="C31">
        <v>1294</v>
      </c>
      <c r="D31">
        <v>142713.93</v>
      </c>
      <c r="E31">
        <v>50472.4</v>
      </c>
    </row>
    <row r="32" spans="1:5" x14ac:dyDescent="0.35">
      <c r="A32" t="s">
        <v>5</v>
      </c>
      <c r="B32" t="s">
        <v>22</v>
      </c>
      <c r="C32">
        <v>25</v>
      </c>
      <c r="D32">
        <v>4200</v>
      </c>
      <c r="E32">
        <v>673.69</v>
      </c>
    </row>
    <row r="33" spans="1:5" x14ac:dyDescent="0.35">
      <c r="A33" t="s">
        <v>5</v>
      </c>
      <c r="B33" t="s">
        <v>20</v>
      </c>
      <c r="C33">
        <v>642</v>
      </c>
      <c r="D33">
        <v>52875</v>
      </c>
      <c r="E33">
        <v>10266.450000000001</v>
      </c>
    </row>
    <row r="34" spans="1:5" x14ac:dyDescent="0.35">
      <c r="A34" t="s">
        <v>5</v>
      </c>
      <c r="B34" t="s">
        <v>23</v>
      </c>
      <c r="C34">
        <v>461</v>
      </c>
      <c r="D34">
        <v>202598.97</v>
      </c>
      <c r="E34">
        <v>-168405.88</v>
      </c>
    </row>
    <row r="35" spans="1:5" x14ac:dyDescent="0.35">
      <c r="A35" t="s">
        <v>5</v>
      </c>
      <c r="B35" t="s">
        <v>18</v>
      </c>
      <c r="C35">
        <v>321</v>
      </c>
      <c r="D35">
        <v>35000</v>
      </c>
      <c r="E35">
        <v>906.9</v>
      </c>
    </row>
    <row r="36" spans="1:5" x14ac:dyDescent="0.35">
      <c r="A36" t="s">
        <v>5</v>
      </c>
      <c r="B36" t="s">
        <v>19</v>
      </c>
      <c r="C36">
        <v>932</v>
      </c>
      <c r="D36">
        <v>138135.01</v>
      </c>
      <c r="E36">
        <v>-56536.39</v>
      </c>
    </row>
    <row r="37" spans="1:5" x14ac:dyDescent="0.35">
      <c r="A37" t="s">
        <v>5</v>
      </c>
      <c r="B37" t="s">
        <v>21</v>
      </c>
      <c r="C37">
        <v>822</v>
      </c>
      <c r="D37">
        <v>89732.79</v>
      </c>
      <c r="E37">
        <v>-15914.92</v>
      </c>
    </row>
    <row r="38" spans="1:5" x14ac:dyDescent="0.35">
      <c r="A38" t="s">
        <v>6</v>
      </c>
      <c r="B38" t="s">
        <v>22</v>
      </c>
      <c r="C38">
        <v>39</v>
      </c>
      <c r="D38">
        <v>7350</v>
      </c>
      <c r="E38">
        <v>4982.34</v>
      </c>
    </row>
    <row r="39" spans="1:5" x14ac:dyDescent="0.35">
      <c r="A39" t="s">
        <v>6</v>
      </c>
      <c r="B39" t="s">
        <v>20</v>
      </c>
      <c r="C39">
        <v>984</v>
      </c>
      <c r="D39">
        <v>87289.19</v>
      </c>
      <c r="E39">
        <v>82379.759999999995</v>
      </c>
    </row>
    <row r="40" spans="1:5" x14ac:dyDescent="0.35">
      <c r="A40" t="s">
        <v>6</v>
      </c>
      <c r="B40" t="s">
        <v>23</v>
      </c>
      <c r="C40">
        <v>578</v>
      </c>
      <c r="D40">
        <v>257025.32</v>
      </c>
      <c r="E40">
        <v>-161391.97</v>
      </c>
    </row>
    <row r="41" spans="1:5" x14ac:dyDescent="0.35">
      <c r="A41" t="s">
        <v>6</v>
      </c>
      <c r="B41" t="s">
        <v>18</v>
      </c>
      <c r="C41">
        <v>488</v>
      </c>
      <c r="D41">
        <v>59600</v>
      </c>
      <c r="E41">
        <v>36863.440000000002</v>
      </c>
    </row>
    <row r="42" spans="1:5" x14ac:dyDescent="0.35">
      <c r="A42" t="s">
        <v>6</v>
      </c>
      <c r="B42" t="s">
        <v>19</v>
      </c>
      <c r="C42">
        <v>1565</v>
      </c>
      <c r="D42">
        <v>249169.84</v>
      </c>
      <c r="E42">
        <v>11782.38</v>
      </c>
    </row>
    <row r="43" spans="1:5" x14ac:dyDescent="0.35">
      <c r="A43" t="s">
        <v>6</v>
      </c>
      <c r="B43" t="s">
        <v>21</v>
      </c>
      <c r="C43">
        <v>1394</v>
      </c>
      <c r="D43">
        <v>158340.98000000001</v>
      </c>
      <c r="E43">
        <v>56915.02</v>
      </c>
    </row>
    <row r="44" spans="1:5" x14ac:dyDescent="0.35">
      <c r="A44" t="s">
        <v>7</v>
      </c>
      <c r="B44" t="s">
        <v>22</v>
      </c>
      <c r="C44">
        <v>42</v>
      </c>
      <c r="D44">
        <v>9300</v>
      </c>
      <c r="E44">
        <v>441.69</v>
      </c>
    </row>
    <row r="45" spans="1:5" x14ac:dyDescent="0.35">
      <c r="A45" t="s">
        <v>7</v>
      </c>
      <c r="B45" t="s">
        <v>20</v>
      </c>
      <c r="C45">
        <v>1108</v>
      </c>
      <c r="D45">
        <v>102975</v>
      </c>
      <c r="E45">
        <v>103022.01</v>
      </c>
    </row>
    <row r="46" spans="1:5" x14ac:dyDescent="0.35">
      <c r="A46" t="s">
        <v>7</v>
      </c>
      <c r="B46" t="s">
        <v>23</v>
      </c>
      <c r="C46">
        <v>668</v>
      </c>
      <c r="D46">
        <v>295034.15000000002</v>
      </c>
      <c r="E46">
        <v>-183246.18</v>
      </c>
    </row>
    <row r="47" spans="1:5" x14ac:dyDescent="0.35">
      <c r="A47" t="s">
        <v>7</v>
      </c>
      <c r="B47" t="s">
        <v>18</v>
      </c>
      <c r="C47">
        <v>532</v>
      </c>
      <c r="D47">
        <v>68000</v>
      </c>
      <c r="E47">
        <v>54438.12</v>
      </c>
    </row>
    <row r="48" spans="1:5" x14ac:dyDescent="0.35">
      <c r="A48" t="s">
        <v>7</v>
      </c>
      <c r="B48" t="s">
        <v>19</v>
      </c>
      <c r="C48">
        <v>1679</v>
      </c>
      <c r="D48">
        <v>276814.5</v>
      </c>
      <c r="E48">
        <v>17788.669999999998</v>
      </c>
    </row>
    <row r="49" spans="1:5" x14ac:dyDescent="0.35">
      <c r="A49" t="s">
        <v>7</v>
      </c>
      <c r="B49" t="s">
        <v>21</v>
      </c>
      <c r="C49">
        <v>1583</v>
      </c>
      <c r="D49">
        <v>188734.65</v>
      </c>
      <c r="E49">
        <v>84863.88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C328C-4374-4D4F-9ECA-1C605986222D}">
  <dimension ref="A1:F9"/>
  <sheetViews>
    <sheetView workbookViewId="0">
      <selection activeCell="D10" sqref="D10"/>
    </sheetView>
  </sheetViews>
  <sheetFormatPr defaultRowHeight="14.5" x14ac:dyDescent="0.35"/>
  <cols>
    <col min="1" max="1" width="11.1796875" bestFit="1" customWidth="1"/>
    <col min="2" max="2" width="12.81640625" bestFit="1" customWidth="1"/>
    <col min="3" max="3" width="12.453125" bestFit="1" customWidth="1"/>
    <col min="4" max="4" width="12.7265625" bestFit="1" customWidth="1"/>
    <col min="5" max="5" width="15.1796875" customWidth="1"/>
    <col min="6" max="6" width="14" customWidth="1"/>
  </cols>
  <sheetData>
    <row r="1" spans="1:6" ht="43.5" x14ac:dyDescent="0.35">
      <c r="A1" s="2" t="s">
        <v>29</v>
      </c>
      <c r="B1" s="2" t="s">
        <v>30</v>
      </c>
      <c r="C1" s="2" t="s">
        <v>31</v>
      </c>
      <c r="D1" s="2" t="s">
        <v>32</v>
      </c>
      <c r="E1" s="2" t="s">
        <v>33</v>
      </c>
      <c r="F1" s="2" t="s">
        <v>34</v>
      </c>
    </row>
    <row r="2" spans="1:6" x14ac:dyDescent="0.35">
      <c r="A2" t="s">
        <v>18</v>
      </c>
      <c r="B2">
        <v>1064</v>
      </c>
      <c r="C2">
        <v>828878.59</v>
      </c>
      <c r="D2">
        <v>106313.39</v>
      </c>
      <c r="E2">
        <v>99.92</v>
      </c>
      <c r="F2">
        <v>40143.72</v>
      </c>
    </row>
    <row r="3" spans="1:6" x14ac:dyDescent="0.35">
      <c r="A3" t="s">
        <v>19</v>
      </c>
      <c r="B3">
        <v>3729</v>
      </c>
      <c r="C3">
        <v>2323389.35</v>
      </c>
      <c r="D3">
        <v>464677.9</v>
      </c>
      <c r="E3">
        <v>124.61</v>
      </c>
      <c r="F3">
        <v>-55531.88</v>
      </c>
    </row>
    <row r="4" spans="1:6" x14ac:dyDescent="0.35">
      <c r="A4" t="s">
        <v>20</v>
      </c>
      <c r="B4">
        <v>2273</v>
      </c>
      <c r="C4">
        <v>1563588.22</v>
      </c>
      <c r="D4">
        <v>170416.8</v>
      </c>
      <c r="E4">
        <v>74.97</v>
      </c>
      <c r="F4">
        <v>94306.21</v>
      </c>
    </row>
    <row r="5" spans="1:6" x14ac:dyDescent="0.35">
      <c r="A5" t="s">
        <v>21</v>
      </c>
      <c r="B5">
        <v>3375</v>
      </c>
      <c r="C5">
        <v>2021943.92</v>
      </c>
      <c r="D5">
        <v>303291.34999999998</v>
      </c>
      <c r="E5">
        <v>89.86</v>
      </c>
      <c r="F5">
        <v>49256.33</v>
      </c>
    </row>
    <row r="6" spans="1:6" x14ac:dyDescent="0.35">
      <c r="A6" t="s">
        <v>22</v>
      </c>
      <c r="B6">
        <v>86</v>
      </c>
      <c r="C6">
        <v>93189.07</v>
      </c>
      <c r="D6">
        <v>12900</v>
      </c>
      <c r="E6">
        <v>150</v>
      </c>
      <c r="F6">
        <v>4876.51</v>
      </c>
    </row>
    <row r="7" spans="1:6" x14ac:dyDescent="0.35">
      <c r="A7" t="s">
        <v>23</v>
      </c>
      <c r="B7">
        <v>1539</v>
      </c>
      <c r="C7">
        <v>1013162.66</v>
      </c>
      <c r="D7">
        <v>506581.36</v>
      </c>
      <c r="E7">
        <v>329.16</v>
      </c>
      <c r="F7">
        <v>-366909.34</v>
      </c>
    </row>
    <row r="9" spans="1:6" x14ac:dyDescent="0.35">
      <c r="D9" s="11" t="str">
        <f>ROUND(SUM(vw_promo_impact[total_discount_given])/100000,2) &amp;" L"</f>
        <v>15.64 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FF77-5979-46A5-826B-D80D14C280B8}">
  <dimension ref="A1:F13"/>
  <sheetViews>
    <sheetView workbookViewId="0">
      <selection activeCell="A8" sqref="A8"/>
    </sheetView>
  </sheetViews>
  <sheetFormatPr defaultRowHeight="14.5" x14ac:dyDescent="0.35"/>
  <cols>
    <col min="1" max="1" width="16.81640625" bestFit="1" customWidth="1"/>
    <col min="2" max="2" width="10.54296875" bestFit="1" customWidth="1"/>
    <col min="3" max="3" width="12.08984375" customWidth="1"/>
    <col min="4" max="5" width="10.81640625" bestFit="1" customWidth="1"/>
  </cols>
  <sheetData>
    <row r="1" spans="1:6" x14ac:dyDescent="0.35">
      <c r="A1" s="2" t="s">
        <v>24</v>
      </c>
      <c r="B1" s="2" t="s">
        <v>25</v>
      </c>
      <c r="C1" s="2" t="s">
        <v>26</v>
      </c>
      <c r="D1" s="2" t="s">
        <v>27</v>
      </c>
      <c r="E1" s="2" t="s">
        <v>28</v>
      </c>
      <c r="F1" t="s">
        <v>74</v>
      </c>
    </row>
    <row r="2" spans="1:6" x14ac:dyDescent="0.35">
      <c r="A2" t="s">
        <v>0</v>
      </c>
      <c r="B2">
        <v>11776</v>
      </c>
      <c r="C2">
        <v>18927</v>
      </c>
      <c r="D2">
        <v>1870350.97</v>
      </c>
      <c r="E2">
        <v>329438.94</v>
      </c>
      <c r="F2" s="7">
        <f>vw_category_perf[[#This Row],[margin]]/vw_category_perf[[#This Row],[revenue]]</f>
        <v>0.17613749787292596</v>
      </c>
    </row>
    <row r="3" spans="1:6" x14ac:dyDescent="0.35">
      <c r="A3" t="s">
        <v>1</v>
      </c>
      <c r="B3">
        <v>23091</v>
      </c>
      <c r="C3">
        <v>41686</v>
      </c>
      <c r="D3">
        <v>4854223.38</v>
      </c>
      <c r="E3">
        <v>1145579.49</v>
      </c>
      <c r="F3" s="7">
        <f>vw_category_perf[[#This Row],[margin]]/vw_category_perf[[#This Row],[revenue]]</f>
        <v>0.23599645099150754</v>
      </c>
    </row>
    <row r="4" spans="1:6" x14ac:dyDescent="0.35">
      <c r="A4" t="s">
        <v>2</v>
      </c>
      <c r="B4">
        <v>17505</v>
      </c>
      <c r="C4">
        <v>29841</v>
      </c>
      <c r="D4">
        <v>3356071.65</v>
      </c>
      <c r="E4">
        <v>555078.91</v>
      </c>
      <c r="F4" s="7">
        <f>vw_category_perf[[#This Row],[margin]]/vw_category_perf[[#This Row],[revenue]]</f>
        <v>0.16539542890867662</v>
      </c>
    </row>
    <row r="5" spans="1:6" x14ac:dyDescent="0.35">
      <c r="A5" t="s">
        <v>3</v>
      </c>
      <c r="B5">
        <v>21161</v>
      </c>
      <c r="C5">
        <v>37905</v>
      </c>
      <c r="D5">
        <v>4030632.17</v>
      </c>
      <c r="E5">
        <v>946497.06</v>
      </c>
      <c r="F5" s="7">
        <f>vw_category_perf[[#This Row],[margin]]/vw_category_perf[[#This Row],[revenue]]</f>
        <v>0.23482595783479793</v>
      </c>
    </row>
    <row r="6" spans="1:6" x14ac:dyDescent="0.35">
      <c r="A6" t="s">
        <v>4</v>
      </c>
      <c r="B6">
        <v>20377</v>
      </c>
      <c r="C6">
        <v>35482</v>
      </c>
      <c r="D6">
        <v>3120649.67</v>
      </c>
      <c r="E6">
        <v>1195214.1599999999</v>
      </c>
      <c r="F6" s="7">
        <f>vw_category_perf[[#This Row],[margin]]/vw_category_perf[[#This Row],[revenue]]</f>
        <v>0.38300171002533584</v>
      </c>
    </row>
    <row r="7" spans="1:6" x14ac:dyDescent="0.35">
      <c r="A7" t="s">
        <v>5</v>
      </c>
      <c r="B7">
        <v>11696</v>
      </c>
      <c r="C7">
        <v>18753</v>
      </c>
      <c r="D7">
        <v>2637268.4500000002</v>
      </c>
      <c r="E7">
        <v>147708.21</v>
      </c>
      <c r="F7" s="7">
        <f>vw_category_perf[[#This Row],[margin]]/vw_category_perf[[#This Row],[revenue]]</f>
        <v>5.6008029823433399E-2</v>
      </c>
    </row>
    <row r="8" spans="1:6" x14ac:dyDescent="0.35">
      <c r="A8" t="s">
        <v>6</v>
      </c>
      <c r="B8">
        <v>20533</v>
      </c>
      <c r="C8">
        <v>35973</v>
      </c>
      <c r="D8">
        <v>3797661.92</v>
      </c>
      <c r="E8">
        <v>1341113.23</v>
      </c>
      <c r="F8" s="7">
        <f>vw_category_perf[[#This Row],[margin]]/vw_category_perf[[#This Row],[revenue]]</f>
        <v>0.35314181679447654</v>
      </c>
    </row>
    <row r="9" spans="1:6" x14ac:dyDescent="0.35">
      <c r="A9" t="s">
        <v>7</v>
      </c>
      <c r="B9">
        <v>22925</v>
      </c>
      <c r="C9">
        <v>41338</v>
      </c>
      <c r="D9">
        <v>4828085.72</v>
      </c>
      <c r="E9">
        <v>1883518.33</v>
      </c>
      <c r="F9" s="7">
        <f>vw_category_perf[[#This Row],[margin]]/vw_category_perf[[#This Row],[revenue]]</f>
        <v>0.39011700272794664</v>
      </c>
    </row>
    <row r="13" spans="1:6" x14ac:dyDescent="0.35">
      <c r="A13">
        <f>COUNTA(vw_category_perf[category])</f>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B0A28-2D28-4A32-A236-780ABF7ACB43}">
  <dimension ref="A1:K102"/>
  <sheetViews>
    <sheetView topLeftCell="A72" workbookViewId="0">
      <selection activeCell="A80" sqref="A80:A87"/>
    </sheetView>
  </sheetViews>
  <sheetFormatPr defaultRowHeight="14.5" x14ac:dyDescent="0.35"/>
  <cols>
    <col min="1" max="1" width="12.36328125" bestFit="1" customWidth="1"/>
    <col min="2" max="2" width="17.7265625" bestFit="1" customWidth="1"/>
    <col min="4" max="4" width="12.36328125" bestFit="1" customWidth="1"/>
    <col min="5" max="5" width="24.90625" bestFit="1" customWidth="1"/>
    <col min="6" max="6" width="22.90625" bestFit="1" customWidth="1"/>
    <col min="7" max="7" width="12.36328125" bestFit="1" customWidth="1"/>
    <col min="8" max="8" width="19.453125" bestFit="1" customWidth="1"/>
    <col min="10" max="10" width="16.81640625" bestFit="1" customWidth="1"/>
    <col min="11" max="11" width="14" bestFit="1" customWidth="1"/>
  </cols>
  <sheetData>
    <row r="1" spans="1:11" x14ac:dyDescent="0.35">
      <c r="A1" t="s">
        <v>51</v>
      </c>
      <c r="E1" t="s">
        <v>63</v>
      </c>
      <c r="J1" t="s">
        <v>56</v>
      </c>
    </row>
    <row r="2" spans="1:11" x14ac:dyDescent="0.35">
      <c r="A2" s="8" t="s">
        <v>48</v>
      </c>
      <c r="B2" t="s">
        <v>50</v>
      </c>
      <c r="E2" s="8" t="s">
        <v>48</v>
      </c>
      <c r="F2" t="s">
        <v>52</v>
      </c>
      <c r="J2" s="8" t="s">
        <v>48</v>
      </c>
      <c r="K2" t="s">
        <v>53</v>
      </c>
    </row>
    <row r="3" spans="1:11" x14ac:dyDescent="0.35">
      <c r="A3" s="9" t="s">
        <v>8</v>
      </c>
      <c r="B3">
        <v>5772</v>
      </c>
      <c r="E3" s="9" t="s">
        <v>0</v>
      </c>
      <c r="F3">
        <v>2852</v>
      </c>
      <c r="J3" s="9" t="s">
        <v>0</v>
      </c>
      <c r="K3">
        <v>1870350.97</v>
      </c>
    </row>
    <row r="4" spans="1:11" x14ac:dyDescent="0.35">
      <c r="A4" s="9" t="s">
        <v>9</v>
      </c>
      <c r="B4">
        <v>5584</v>
      </c>
      <c r="E4" s="9" t="s">
        <v>1</v>
      </c>
      <c r="F4">
        <v>5769</v>
      </c>
      <c r="J4" s="9" t="s">
        <v>1</v>
      </c>
      <c r="K4">
        <v>4854223.38</v>
      </c>
    </row>
    <row r="5" spans="1:11" x14ac:dyDescent="0.35">
      <c r="A5" s="9" t="s">
        <v>10</v>
      </c>
      <c r="B5">
        <v>5001</v>
      </c>
      <c r="E5" s="9" t="s">
        <v>2</v>
      </c>
      <c r="F5">
        <v>4380</v>
      </c>
      <c r="J5" s="9" t="s">
        <v>2</v>
      </c>
      <c r="K5">
        <v>3356071.65</v>
      </c>
    </row>
    <row r="6" spans="1:11" x14ac:dyDescent="0.35">
      <c r="A6" s="9" t="s">
        <v>11</v>
      </c>
      <c r="B6">
        <v>5333</v>
      </c>
      <c r="E6" s="9" t="s">
        <v>3</v>
      </c>
      <c r="F6">
        <v>5243</v>
      </c>
      <c r="J6" s="9" t="s">
        <v>3</v>
      </c>
      <c r="K6">
        <v>4030632.17</v>
      </c>
    </row>
    <row r="7" spans="1:11" x14ac:dyDescent="0.35">
      <c r="A7" s="9" t="s">
        <v>12</v>
      </c>
      <c r="B7">
        <v>4436</v>
      </c>
      <c r="E7" s="9" t="s">
        <v>4</v>
      </c>
      <c r="F7">
        <v>4788</v>
      </c>
      <c r="J7" s="9" t="s">
        <v>4</v>
      </c>
      <c r="K7">
        <v>3120649.67</v>
      </c>
    </row>
    <row r="8" spans="1:11" x14ac:dyDescent="0.35">
      <c r="A8" s="9" t="s">
        <v>13</v>
      </c>
      <c r="B8">
        <v>5811</v>
      </c>
      <c r="E8" s="9" t="s">
        <v>5</v>
      </c>
      <c r="F8">
        <v>3203</v>
      </c>
      <c r="J8" s="9" t="s">
        <v>5</v>
      </c>
      <c r="K8">
        <v>2637268.4500000002</v>
      </c>
    </row>
    <row r="9" spans="1:11" x14ac:dyDescent="0.35">
      <c r="A9" s="9" t="s">
        <v>14</v>
      </c>
      <c r="B9">
        <v>4763</v>
      </c>
      <c r="E9" s="9" t="s">
        <v>6</v>
      </c>
      <c r="F9">
        <v>5048</v>
      </c>
      <c r="J9" s="9" t="s">
        <v>6</v>
      </c>
      <c r="K9">
        <v>3797661.92</v>
      </c>
    </row>
    <row r="10" spans="1:11" x14ac:dyDescent="0.35">
      <c r="A10" s="9" t="s">
        <v>15</v>
      </c>
      <c r="B10">
        <v>5041</v>
      </c>
      <c r="E10" s="9" t="s">
        <v>7</v>
      </c>
      <c r="F10">
        <v>5612</v>
      </c>
      <c r="J10" s="9" t="s">
        <v>7</v>
      </c>
      <c r="K10">
        <v>4828085.72</v>
      </c>
    </row>
    <row r="11" spans="1:11" x14ac:dyDescent="0.35">
      <c r="A11" s="9" t="s">
        <v>17</v>
      </c>
      <c r="B11">
        <v>1712</v>
      </c>
      <c r="E11" s="9" t="s">
        <v>49</v>
      </c>
      <c r="F11">
        <v>36895</v>
      </c>
      <c r="J11" s="9" t="s">
        <v>49</v>
      </c>
      <c r="K11">
        <v>28494943.93</v>
      </c>
    </row>
    <row r="12" spans="1:11" x14ac:dyDescent="0.35">
      <c r="A12" s="9" t="s">
        <v>16</v>
      </c>
      <c r="B12">
        <v>5057</v>
      </c>
    </row>
    <row r="13" spans="1:11" x14ac:dyDescent="0.35">
      <c r="A13" s="9" t="s">
        <v>49</v>
      </c>
      <c r="B13">
        <v>48510</v>
      </c>
    </row>
    <row r="16" spans="1:11" x14ac:dyDescent="0.35">
      <c r="A16" s="9" t="s">
        <v>55</v>
      </c>
      <c r="D16" t="s">
        <v>58</v>
      </c>
    </row>
    <row r="17" spans="1:6" x14ac:dyDescent="0.35">
      <c r="A17" s="8" t="s">
        <v>48</v>
      </c>
      <c r="B17" t="s">
        <v>54</v>
      </c>
      <c r="D17" s="8" t="s">
        <v>48</v>
      </c>
      <c r="E17" t="s">
        <v>57</v>
      </c>
      <c r="F17" t="s">
        <v>59</v>
      </c>
    </row>
    <row r="18" spans="1:6" x14ac:dyDescent="0.35">
      <c r="A18" s="9" t="s">
        <v>0</v>
      </c>
      <c r="B18">
        <v>329438.94</v>
      </c>
      <c r="D18" s="9" t="s">
        <v>22</v>
      </c>
      <c r="E18">
        <v>93189.07</v>
      </c>
      <c r="F18">
        <v>12900</v>
      </c>
    </row>
    <row r="19" spans="1:6" x14ac:dyDescent="0.35">
      <c r="A19" s="9" t="s">
        <v>1</v>
      </c>
      <c r="B19">
        <v>1145579.49</v>
      </c>
      <c r="D19" s="9" t="s">
        <v>20</v>
      </c>
      <c r="E19">
        <v>1563588.22</v>
      </c>
      <c r="F19">
        <v>170416.8</v>
      </c>
    </row>
    <row r="20" spans="1:6" x14ac:dyDescent="0.35">
      <c r="A20" s="9" t="s">
        <v>2</v>
      </c>
      <c r="B20">
        <v>555078.91</v>
      </c>
      <c r="D20" s="9" t="s">
        <v>23</v>
      </c>
      <c r="E20">
        <v>1013162.66</v>
      </c>
      <c r="F20">
        <v>506581.36</v>
      </c>
    </row>
    <row r="21" spans="1:6" x14ac:dyDescent="0.35">
      <c r="A21" s="9" t="s">
        <v>3</v>
      </c>
      <c r="B21">
        <v>946497.06</v>
      </c>
      <c r="D21" s="9" t="s">
        <v>18</v>
      </c>
      <c r="E21">
        <v>828878.59</v>
      </c>
      <c r="F21">
        <v>106313.39</v>
      </c>
    </row>
    <row r="22" spans="1:6" x14ac:dyDescent="0.35">
      <c r="A22" s="9" t="s">
        <v>4</v>
      </c>
      <c r="B22">
        <v>1195214.1599999999</v>
      </c>
      <c r="D22" s="9" t="s">
        <v>19</v>
      </c>
      <c r="E22">
        <v>2323389.35</v>
      </c>
      <c r="F22">
        <v>464677.9</v>
      </c>
    </row>
    <row r="23" spans="1:6" x14ac:dyDescent="0.35">
      <c r="A23" s="9" t="s">
        <v>5</v>
      </c>
      <c r="B23">
        <v>147708.21</v>
      </c>
      <c r="D23" s="9" t="s">
        <v>21</v>
      </c>
      <c r="E23">
        <v>2021943.92</v>
      </c>
      <c r="F23">
        <v>303291.34999999998</v>
      </c>
    </row>
    <row r="24" spans="1:6" x14ac:dyDescent="0.35">
      <c r="A24" s="9" t="s">
        <v>6</v>
      </c>
      <c r="B24">
        <v>1341113.23</v>
      </c>
      <c r="D24" s="9" t="s">
        <v>49</v>
      </c>
      <c r="E24">
        <v>7844151.8100000005</v>
      </c>
      <c r="F24">
        <v>1564180.7999999998</v>
      </c>
    </row>
    <row r="25" spans="1:6" x14ac:dyDescent="0.35">
      <c r="A25" s="9" t="s">
        <v>7</v>
      </c>
      <c r="B25">
        <v>1883518.33</v>
      </c>
    </row>
    <row r="26" spans="1:6" x14ac:dyDescent="0.35">
      <c r="A26" s="9" t="s">
        <v>49</v>
      </c>
      <c r="B26">
        <v>7544148.3300000001</v>
      </c>
    </row>
    <row r="30" spans="1:6" x14ac:dyDescent="0.35">
      <c r="A30" t="s">
        <v>61</v>
      </c>
      <c r="D30" t="s">
        <v>62</v>
      </c>
    </row>
    <row r="31" spans="1:6" x14ac:dyDescent="0.35">
      <c r="A31" s="8" t="s">
        <v>48</v>
      </c>
      <c r="B31" t="s">
        <v>60</v>
      </c>
      <c r="D31" s="8" t="s">
        <v>48</v>
      </c>
      <c r="E31" t="s">
        <v>70</v>
      </c>
    </row>
    <row r="32" spans="1:6" x14ac:dyDescent="0.35">
      <c r="A32" s="9" t="s">
        <v>8</v>
      </c>
      <c r="B32" s="13">
        <v>6091</v>
      </c>
      <c r="D32" s="9" t="s">
        <v>8</v>
      </c>
      <c r="E32" s="10">
        <v>3.2999507470037763E-2</v>
      </c>
    </row>
    <row r="33" spans="1:8" x14ac:dyDescent="0.35">
      <c r="A33" s="9" t="s">
        <v>9</v>
      </c>
      <c r="B33" s="13">
        <v>5877</v>
      </c>
      <c r="D33" s="9" t="s">
        <v>9</v>
      </c>
      <c r="E33" s="10">
        <v>3.0287561681129827E-2</v>
      </c>
    </row>
    <row r="34" spans="1:8" x14ac:dyDescent="0.35">
      <c r="A34" s="9" t="s">
        <v>10</v>
      </c>
      <c r="B34" s="13">
        <v>5564</v>
      </c>
      <c r="D34" s="9" t="s">
        <v>10</v>
      </c>
      <c r="E34" s="10">
        <v>7.9439252336448593E-2</v>
      </c>
    </row>
    <row r="35" spans="1:8" x14ac:dyDescent="0.35">
      <c r="A35" s="9" t="s">
        <v>11</v>
      </c>
      <c r="B35" s="13">
        <v>5622</v>
      </c>
      <c r="D35" s="9" t="s">
        <v>11</v>
      </c>
      <c r="E35" s="10">
        <v>2.9526858769121308E-2</v>
      </c>
    </row>
    <row r="36" spans="1:8" x14ac:dyDescent="0.35">
      <c r="A36" s="9" t="s">
        <v>12</v>
      </c>
      <c r="B36" s="13">
        <v>4688</v>
      </c>
      <c r="D36" s="9" t="s">
        <v>12</v>
      </c>
      <c r="E36" s="10">
        <v>3.1996587030716721E-2</v>
      </c>
    </row>
    <row r="37" spans="1:8" x14ac:dyDescent="0.35">
      <c r="A37" s="9" t="s">
        <v>13</v>
      </c>
      <c r="B37" s="13">
        <v>6153</v>
      </c>
      <c r="D37" s="9" t="s">
        <v>13</v>
      </c>
      <c r="E37" s="10">
        <v>3.4129692832764506E-2</v>
      </c>
    </row>
    <row r="38" spans="1:8" x14ac:dyDescent="0.35">
      <c r="A38" s="9" t="s">
        <v>14</v>
      </c>
      <c r="B38" s="13">
        <v>5687</v>
      </c>
      <c r="D38" s="9" t="s">
        <v>14</v>
      </c>
      <c r="E38" s="10">
        <v>0.14014418850008792</v>
      </c>
    </row>
    <row r="39" spans="1:8" x14ac:dyDescent="0.35">
      <c r="A39" s="9" t="s">
        <v>15</v>
      </c>
      <c r="B39" s="13">
        <v>5309</v>
      </c>
      <c r="D39" s="9" t="s">
        <v>15</v>
      </c>
      <c r="E39" s="10">
        <v>3.0514221133923526E-2</v>
      </c>
    </row>
    <row r="40" spans="1:8" x14ac:dyDescent="0.35">
      <c r="A40" s="9" t="s">
        <v>17</v>
      </c>
      <c r="B40" s="13">
        <v>1815</v>
      </c>
      <c r="D40" s="9" t="s">
        <v>17</v>
      </c>
      <c r="E40" s="10">
        <v>3.9669421487603308E-2</v>
      </c>
    </row>
    <row r="41" spans="1:8" x14ac:dyDescent="0.35">
      <c r="A41" s="9" t="s">
        <v>16</v>
      </c>
      <c r="B41" s="13">
        <v>5327</v>
      </c>
      <c r="D41" s="9" t="s">
        <v>16</v>
      </c>
      <c r="E41" s="10">
        <v>3.3414679932419748E-2</v>
      </c>
    </row>
    <row r="42" spans="1:8" x14ac:dyDescent="0.35">
      <c r="A42" s="9" t="s">
        <v>49</v>
      </c>
      <c r="B42" s="13">
        <v>52133</v>
      </c>
      <c r="D42" s="9" t="s">
        <v>49</v>
      </c>
      <c r="E42" s="10">
        <v>4.8212197117425325E-2</v>
      </c>
    </row>
    <row r="46" spans="1:8" x14ac:dyDescent="0.35">
      <c r="A46" t="s">
        <v>65</v>
      </c>
      <c r="D46" t="s">
        <v>66</v>
      </c>
      <c r="G46" t="s">
        <v>68</v>
      </c>
    </row>
    <row r="47" spans="1:8" x14ac:dyDescent="0.35">
      <c r="A47" s="8" t="s">
        <v>48</v>
      </c>
      <c r="B47" t="s">
        <v>57</v>
      </c>
      <c r="D47" s="8" t="s">
        <v>48</v>
      </c>
      <c r="E47" t="s">
        <v>64</v>
      </c>
      <c r="G47" s="8" t="s">
        <v>48</v>
      </c>
      <c r="H47" t="s">
        <v>67</v>
      </c>
    </row>
    <row r="48" spans="1:8" x14ac:dyDescent="0.35">
      <c r="A48" s="9" t="s">
        <v>8</v>
      </c>
      <c r="B48" s="13">
        <v>3370538.3</v>
      </c>
      <c r="D48" s="9" t="s">
        <v>8</v>
      </c>
      <c r="E48" s="13">
        <v>2465200.65</v>
      </c>
      <c r="G48" s="9" t="s">
        <v>14</v>
      </c>
      <c r="H48" s="13">
        <v>2.23</v>
      </c>
    </row>
    <row r="49" spans="1:8" x14ac:dyDescent="0.35">
      <c r="A49" s="9" t="s">
        <v>9</v>
      </c>
      <c r="B49" s="13">
        <v>3269608.95</v>
      </c>
      <c r="D49" s="9" t="s">
        <v>9</v>
      </c>
      <c r="E49" s="13">
        <v>2392695.9700000002</v>
      </c>
      <c r="G49" s="9" t="s">
        <v>11</v>
      </c>
      <c r="H49" s="13">
        <v>2.19</v>
      </c>
    </row>
    <row r="50" spans="1:8" x14ac:dyDescent="0.35">
      <c r="A50" s="9" t="s">
        <v>10</v>
      </c>
      <c r="B50" s="13">
        <v>3051694.83</v>
      </c>
      <c r="D50" s="9" t="s">
        <v>10</v>
      </c>
      <c r="E50" s="13">
        <v>2234257.9700000002</v>
      </c>
      <c r="G50" s="9" t="s">
        <v>12</v>
      </c>
      <c r="H50" s="13">
        <v>2.1800000000000002</v>
      </c>
    </row>
    <row r="51" spans="1:8" x14ac:dyDescent="0.35">
      <c r="A51" s="9" t="s">
        <v>11</v>
      </c>
      <c r="B51" s="13">
        <v>3109656.42</v>
      </c>
      <c r="D51" s="9" t="s">
        <v>11</v>
      </c>
      <c r="E51" s="13">
        <v>2273753.0299999998</v>
      </c>
      <c r="G51" s="9" t="s">
        <v>10</v>
      </c>
      <c r="H51" s="13">
        <v>2.17</v>
      </c>
    </row>
    <row r="52" spans="1:8" x14ac:dyDescent="0.35">
      <c r="A52" s="9" t="s">
        <v>12</v>
      </c>
      <c r="B52" s="13">
        <v>2586827.0299999998</v>
      </c>
      <c r="D52" s="9" t="s">
        <v>12</v>
      </c>
      <c r="E52" s="13">
        <v>1889809.89</v>
      </c>
      <c r="G52" s="9" t="s">
        <v>13</v>
      </c>
      <c r="H52" s="13">
        <v>2.15</v>
      </c>
    </row>
    <row r="53" spans="1:8" x14ac:dyDescent="0.35">
      <c r="A53" s="9" t="s">
        <v>13</v>
      </c>
      <c r="B53" s="13">
        <v>3347415.33</v>
      </c>
      <c r="D53" s="9" t="s">
        <v>13</v>
      </c>
      <c r="E53" s="13">
        <v>2455151.4</v>
      </c>
      <c r="G53" s="9" t="s">
        <v>15</v>
      </c>
      <c r="H53" s="13">
        <v>2</v>
      </c>
    </row>
    <row r="54" spans="1:8" x14ac:dyDescent="0.35">
      <c r="A54" s="9" t="s">
        <v>14</v>
      </c>
      <c r="B54" s="13">
        <v>3123166.37</v>
      </c>
      <c r="D54" s="9" t="s">
        <v>14</v>
      </c>
      <c r="E54" s="13">
        <v>2396284.7599999998</v>
      </c>
      <c r="G54" s="9" t="s">
        <v>9</v>
      </c>
      <c r="H54" s="13">
        <v>1.96</v>
      </c>
    </row>
    <row r="55" spans="1:8" x14ac:dyDescent="0.35">
      <c r="A55" s="9" t="s">
        <v>15</v>
      </c>
      <c r="B55" s="13">
        <v>2916363.05</v>
      </c>
      <c r="D55" s="9" t="s">
        <v>15</v>
      </c>
      <c r="E55" s="13">
        <v>2130609.29</v>
      </c>
      <c r="G55" s="9" t="s">
        <v>8</v>
      </c>
      <c r="H55" s="13">
        <v>1.94</v>
      </c>
    </row>
    <row r="56" spans="1:8" x14ac:dyDescent="0.35">
      <c r="A56" s="9" t="s">
        <v>17</v>
      </c>
      <c r="B56" s="13">
        <v>1008430.21</v>
      </c>
      <c r="D56" s="9" t="s">
        <v>17</v>
      </c>
      <c r="E56" s="13">
        <v>738397.88</v>
      </c>
      <c r="G56" s="9" t="s">
        <v>16</v>
      </c>
      <c r="H56" s="13">
        <v>1.73</v>
      </c>
    </row>
    <row r="57" spans="1:8" x14ac:dyDescent="0.35">
      <c r="A57" s="9" t="s">
        <v>16</v>
      </c>
      <c r="B57" s="13">
        <v>2941966.31</v>
      </c>
      <c r="D57" s="9" t="s">
        <v>16</v>
      </c>
      <c r="E57" s="13">
        <v>2144427.5299999998</v>
      </c>
      <c r="G57" s="9" t="s">
        <v>17</v>
      </c>
      <c r="H57" s="13">
        <v>1.71</v>
      </c>
    </row>
    <row r="58" spans="1:8" x14ac:dyDescent="0.35">
      <c r="A58" s="9" t="s">
        <v>49</v>
      </c>
      <c r="B58" s="13">
        <v>28725666.800000001</v>
      </c>
      <c r="D58" s="9" t="s">
        <v>49</v>
      </c>
      <c r="E58" s="13">
        <v>21120588.370000001</v>
      </c>
      <c r="G58" s="9" t="s">
        <v>49</v>
      </c>
      <c r="H58" s="13">
        <v>2.0260000000000002</v>
      </c>
    </row>
    <row r="62" spans="1:8" x14ac:dyDescent="0.35">
      <c r="A62" t="s">
        <v>72</v>
      </c>
      <c r="D62" t="s">
        <v>56</v>
      </c>
      <c r="G62" t="s">
        <v>76</v>
      </c>
    </row>
    <row r="63" spans="1:8" x14ac:dyDescent="0.35">
      <c r="A63" s="8" t="s">
        <v>48</v>
      </c>
      <c r="B63" t="s">
        <v>73</v>
      </c>
      <c r="D63" s="8" t="s">
        <v>48</v>
      </c>
      <c r="E63" t="s">
        <v>53</v>
      </c>
      <c r="G63" s="8" t="s">
        <v>48</v>
      </c>
      <c r="H63" t="s">
        <v>75</v>
      </c>
    </row>
    <row r="64" spans="1:8" x14ac:dyDescent="0.35">
      <c r="A64" s="9" t="s">
        <v>8</v>
      </c>
      <c r="B64" s="10">
        <v>0.94762764734854699</v>
      </c>
      <c r="D64" s="9" t="s">
        <v>0</v>
      </c>
      <c r="E64" s="13">
        <v>1870350.97</v>
      </c>
      <c r="G64" s="9" t="s">
        <v>0</v>
      </c>
      <c r="H64" s="10">
        <v>0.17613749787292596</v>
      </c>
    </row>
    <row r="65" spans="1:8" x14ac:dyDescent="0.35">
      <c r="A65" s="9" t="s">
        <v>9</v>
      </c>
      <c r="B65" s="10">
        <v>0.95014463161476947</v>
      </c>
      <c r="D65" s="9" t="s">
        <v>1</v>
      </c>
      <c r="E65" s="13">
        <v>4854223.38</v>
      </c>
      <c r="G65" s="9" t="s">
        <v>1</v>
      </c>
      <c r="H65" s="10">
        <v>0.23599645099150754</v>
      </c>
    </row>
    <row r="66" spans="1:8" x14ac:dyDescent="0.35">
      <c r="A66" s="9" t="s">
        <v>10</v>
      </c>
      <c r="B66" s="10">
        <v>0.8988138030194105</v>
      </c>
      <c r="D66" s="9" t="s">
        <v>2</v>
      </c>
      <c r="E66" s="13">
        <v>3356071.65</v>
      </c>
      <c r="G66" s="9" t="s">
        <v>2</v>
      </c>
      <c r="H66" s="10">
        <v>0.16539542890867662</v>
      </c>
    </row>
    <row r="67" spans="1:8" x14ac:dyDescent="0.35">
      <c r="A67" s="9" t="s">
        <v>11</v>
      </c>
      <c r="B67" s="10">
        <v>0.94859480611881897</v>
      </c>
      <c r="D67" s="9" t="s">
        <v>3</v>
      </c>
      <c r="E67" s="13">
        <v>4030632.17</v>
      </c>
      <c r="G67" s="9" t="s">
        <v>3</v>
      </c>
      <c r="H67" s="10">
        <v>0.23482595783479793</v>
      </c>
    </row>
    <row r="68" spans="1:8" x14ac:dyDescent="0.35">
      <c r="A68" s="9" t="s">
        <v>12</v>
      </c>
      <c r="B68" s="10">
        <v>0.94624573378839594</v>
      </c>
      <c r="D68" s="9" t="s">
        <v>4</v>
      </c>
      <c r="E68" s="13">
        <v>3120649.67</v>
      </c>
      <c r="G68" s="9" t="s">
        <v>4</v>
      </c>
      <c r="H68" s="10">
        <v>0.38300171002533584</v>
      </c>
    </row>
    <row r="69" spans="1:8" x14ac:dyDescent="0.35">
      <c r="A69" s="9" t="s">
        <v>13</v>
      </c>
      <c r="B69" s="10">
        <v>0.94441735738664068</v>
      </c>
      <c r="D69" s="9" t="s">
        <v>5</v>
      </c>
      <c r="E69" s="13">
        <v>2637268.4500000002</v>
      </c>
      <c r="G69" s="9" t="s">
        <v>5</v>
      </c>
      <c r="H69" s="10">
        <v>5.6008029823433399E-2</v>
      </c>
    </row>
    <row r="70" spans="1:8" x14ac:dyDescent="0.35">
      <c r="A70" s="9" t="s">
        <v>14</v>
      </c>
      <c r="B70" s="10">
        <v>0.8375241779497099</v>
      </c>
      <c r="D70" s="9" t="s">
        <v>6</v>
      </c>
      <c r="E70" s="13">
        <v>3797661.92</v>
      </c>
      <c r="G70" s="9" t="s">
        <v>6</v>
      </c>
      <c r="H70" s="10">
        <v>0.35314181679447654</v>
      </c>
    </row>
    <row r="71" spans="1:8" x14ac:dyDescent="0.35">
      <c r="A71" s="9" t="s">
        <v>15</v>
      </c>
      <c r="B71" s="10">
        <v>0.94951968355622529</v>
      </c>
      <c r="D71" s="9" t="s">
        <v>7</v>
      </c>
      <c r="E71" s="13">
        <v>4828085.72</v>
      </c>
      <c r="G71" s="9" t="s">
        <v>7</v>
      </c>
      <c r="H71" s="10">
        <v>0.39011700272794664</v>
      </c>
    </row>
    <row r="72" spans="1:8" x14ac:dyDescent="0.35">
      <c r="A72" s="9" t="s">
        <v>17</v>
      </c>
      <c r="B72" s="10">
        <v>0.94325068870523421</v>
      </c>
      <c r="D72" s="9" t="s">
        <v>49</v>
      </c>
      <c r="E72" s="13">
        <v>28494943.93</v>
      </c>
      <c r="G72" s="9" t="s">
        <v>49</v>
      </c>
      <c r="H72" s="10">
        <v>0.24932798687238752</v>
      </c>
    </row>
    <row r="73" spans="1:8" x14ac:dyDescent="0.35">
      <c r="A73" s="9" t="s">
        <v>16</v>
      </c>
      <c r="B73" s="10">
        <v>0.9493148113384644</v>
      </c>
    </row>
    <row r="74" spans="1:8" x14ac:dyDescent="0.35">
      <c r="A74" s="9" t="s">
        <v>49</v>
      </c>
      <c r="B74" s="10">
        <v>0.93154533408262163</v>
      </c>
    </row>
    <row r="77" spans="1:8" x14ac:dyDescent="0.35">
      <c r="D77" t="s">
        <v>82</v>
      </c>
      <c r="G77" t="s">
        <v>83</v>
      </c>
    </row>
    <row r="78" spans="1:8" x14ac:dyDescent="0.35">
      <c r="A78" t="s">
        <v>78</v>
      </c>
      <c r="D78" s="8" t="s">
        <v>48</v>
      </c>
      <c r="E78" t="s">
        <v>81</v>
      </c>
      <c r="G78" s="8" t="s">
        <v>48</v>
      </c>
      <c r="H78" t="s">
        <v>84</v>
      </c>
    </row>
    <row r="79" spans="1:8" x14ac:dyDescent="0.35">
      <c r="A79" s="8" t="s">
        <v>48</v>
      </c>
      <c r="B79" t="s">
        <v>77</v>
      </c>
      <c r="D79" s="9" t="s">
        <v>8</v>
      </c>
      <c r="E79" s="13">
        <v>579936.92999999993</v>
      </c>
      <c r="G79" s="9" t="s">
        <v>8</v>
      </c>
      <c r="H79" s="10">
        <v>0.17206062604302699</v>
      </c>
    </row>
    <row r="80" spans="1:8" x14ac:dyDescent="0.35">
      <c r="A80" s="9" t="s">
        <v>0</v>
      </c>
      <c r="B80" s="13">
        <v>18927</v>
      </c>
      <c r="D80" s="9" t="s">
        <v>9</v>
      </c>
      <c r="E80" s="13">
        <v>563371.41999999981</v>
      </c>
      <c r="G80" s="9" t="s">
        <v>9</v>
      </c>
      <c r="H80" s="10">
        <v>0.17230544343842702</v>
      </c>
    </row>
    <row r="81" spans="1:8" x14ac:dyDescent="0.35">
      <c r="A81" s="9" t="s">
        <v>1</v>
      </c>
      <c r="B81" s="13">
        <v>41686</v>
      </c>
      <c r="D81" s="9" t="s">
        <v>10</v>
      </c>
      <c r="E81" s="13">
        <v>305530.18</v>
      </c>
      <c r="G81" s="9" t="s">
        <v>10</v>
      </c>
      <c r="H81" s="10">
        <v>0.10011819563229393</v>
      </c>
    </row>
    <row r="82" spans="1:8" x14ac:dyDescent="0.35">
      <c r="A82" s="9" t="s">
        <v>2</v>
      </c>
      <c r="B82" s="13">
        <v>29841</v>
      </c>
      <c r="D82" s="9" t="s">
        <v>11</v>
      </c>
      <c r="E82" s="13">
        <v>539230.75000000012</v>
      </c>
      <c r="G82" s="9" t="s">
        <v>11</v>
      </c>
      <c r="H82" s="10">
        <v>0.17340525034595305</v>
      </c>
    </row>
    <row r="83" spans="1:8" x14ac:dyDescent="0.35">
      <c r="A83" s="9" t="s">
        <v>3</v>
      </c>
      <c r="B83" s="13">
        <v>37905</v>
      </c>
      <c r="D83" s="9" t="s">
        <v>12</v>
      </c>
      <c r="E83" s="13">
        <v>449633.43</v>
      </c>
      <c r="G83" s="9" t="s">
        <v>12</v>
      </c>
      <c r="H83" s="10">
        <v>0.17381658100271205</v>
      </c>
    </row>
    <row r="84" spans="1:8" x14ac:dyDescent="0.35">
      <c r="A84" s="9" t="s">
        <v>4</v>
      </c>
      <c r="B84" s="13">
        <v>35482</v>
      </c>
      <c r="D84" s="9" t="s">
        <v>13</v>
      </c>
      <c r="E84" s="13">
        <v>581601.52000000025</v>
      </c>
      <c r="G84" s="9" t="s">
        <v>13</v>
      </c>
      <c r="H84" s="10">
        <v>0.17374644693402902</v>
      </c>
    </row>
    <row r="85" spans="1:8" x14ac:dyDescent="0.35">
      <c r="A85" s="9" t="s">
        <v>5</v>
      </c>
      <c r="B85" s="13">
        <v>18753</v>
      </c>
      <c r="D85" s="9" t="s">
        <v>14</v>
      </c>
      <c r="E85" s="13">
        <v>202787.7400000006</v>
      </c>
      <c r="G85" s="9" t="s">
        <v>14</v>
      </c>
      <c r="H85" s="10">
        <v>6.4930175333567194E-2</v>
      </c>
    </row>
    <row r="86" spans="1:8" x14ac:dyDescent="0.35">
      <c r="A86" s="9" t="s">
        <v>6</v>
      </c>
      <c r="B86" s="13">
        <v>35973</v>
      </c>
      <c r="D86" s="9" t="s">
        <v>15</v>
      </c>
      <c r="E86" s="13">
        <v>512031.38999999966</v>
      </c>
      <c r="G86" s="9" t="s">
        <v>15</v>
      </c>
      <c r="H86" s="10">
        <v>0.1755718959613069</v>
      </c>
    </row>
    <row r="87" spans="1:8" x14ac:dyDescent="0.35">
      <c r="A87" s="9" t="s">
        <v>7</v>
      </c>
      <c r="B87" s="13">
        <v>41338</v>
      </c>
      <c r="D87" s="9" t="s">
        <v>17</v>
      </c>
      <c r="E87" s="13">
        <v>175164.90999999992</v>
      </c>
      <c r="G87" s="9" t="s">
        <v>17</v>
      </c>
      <c r="H87" s="10">
        <v>0.17370057765326161</v>
      </c>
    </row>
    <row r="88" spans="1:8" x14ac:dyDescent="0.35">
      <c r="A88" s="9" t="s">
        <v>49</v>
      </c>
      <c r="B88" s="13">
        <v>259905</v>
      </c>
      <c r="D88" s="9" t="s">
        <v>16</v>
      </c>
      <c r="E88" s="13">
        <v>513786.7300000001</v>
      </c>
      <c r="G88" s="9" t="s">
        <v>16</v>
      </c>
      <c r="H88" s="10">
        <v>0.17464058927309745</v>
      </c>
    </row>
    <row r="89" spans="1:8" x14ac:dyDescent="0.35">
      <c r="D89" s="9" t="s">
        <v>49</v>
      </c>
      <c r="E89" s="13">
        <v>4423075.0000000009</v>
      </c>
      <c r="G89" s="9" t="s">
        <v>49</v>
      </c>
      <c r="H89" s="10">
        <v>0.15542957816176753</v>
      </c>
    </row>
    <row r="94" spans="1:8" x14ac:dyDescent="0.35">
      <c r="A94" t="s">
        <v>86</v>
      </c>
      <c r="D94" t="s">
        <v>87</v>
      </c>
      <c r="G94" t="s">
        <v>88</v>
      </c>
    </row>
    <row r="95" spans="1:8" x14ac:dyDescent="0.35">
      <c r="A95" s="8" t="s">
        <v>48</v>
      </c>
      <c r="B95" t="s">
        <v>85</v>
      </c>
      <c r="D95" s="8" t="s">
        <v>48</v>
      </c>
      <c r="E95" t="s">
        <v>59</v>
      </c>
      <c r="G95" s="8" t="s">
        <v>48</v>
      </c>
      <c r="H95" t="s">
        <v>57</v>
      </c>
    </row>
    <row r="96" spans="1:8" x14ac:dyDescent="0.35">
      <c r="A96" s="9" t="s">
        <v>22</v>
      </c>
      <c r="B96" s="13">
        <v>86</v>
      </c>
      <c r="D96" s="9" t="s">
        <v>22</v>
      </c>
      <c r="E96" s="13">
        <v>12900</v>
      </c>
      <c r="G96" s="9" t="s">
        <v>22</v>
      </c>
      <c r="H96" s="13">
        <v>93189.07</v>
      </c>
    </row>
    <row r="97" spans="1:8" x14ac:dyDescent="0.35">
      <c r="A97" s="9" t="s">
        <v>20</v>
      </c>
      <c r="B97" s="13">
        <v>2273</v>
      </c>
      <c r="D97" s="9" t="s">
        <v>20</v>
      </c>
      <c r="E97" s="13">
        <v>170416.8</v>
      </c>
      <c r="G97" s="9" t="s">
        <v>20</v>
      </c>
      <c r="H97" s="13">
        <v>1563588.22</v>
      </c>
    </row>
    <row r="98" spans="1:8" x14ac:dyDescent="0.35">
      <c r="A98" s="9" t="s">
        <v>23</v>
      </c>
      <c r="B98" s="13">
        <v>1539</v>
      </c>
      <c r="D98" s="9" t="s">
        <v>23</v>
      </c>
      <c r="E98" s="13">
        <v>506581.36</v>
      </c>
      <c r="G98" s="9" t="s">
        <v>23</v>
      </c>
      <c r="H98" s="13">
        <v>1013162.66</v>
      </c>
    </row>
    <row r="99" spans="1:8" x14ac:dyDescent="0.35">
      <c r="A99" s="9" t="s">
        <v>18</v>
      </c>
      <c r="B99" s="13">
        <v>1064</v>
      </c>
      <c r="D99" s="9" t="s">
        <v>18</v>
      </c>
      <c r="E99" s="13">
        <v>106313.39</v>
      </c>
      <c r="G99" s="9" t="s">
        <v>18</v>
      </c>
      <c r="H99" s="13">
        <v>828878.59</v>
      </c>
    </row>
    <row r="100" spans="1:8" x14ac:dyDescent="0.35">
      <c r="A100" s="9" t="s">
        <v>19</v>
      </c>
      <c r="B100" s="13">
        <v>3729</v>
      </c>
      <c r="D100" s="9" t="s">
        <v>19</v>
      </c>
      <c r="E100" s="13">
        <v>464677.9</v>
      </c>
      <c r="G100" s="9" t="s">
        <v>19</v>
      </c>
      <c r="H100" s="13">
        <v>2323389.35</v>
      </c>
    </row>
    <row r="101" spans="1:8" x14ac:dyDescent="0.35">
      <c r="A101" s="9" t="s">
        <v>21</v>
      </c>
      <c r="B101" s="13">
        <v>3375</v>
      </c>
      <c r="D101" s="9" t="s">
        <v>21</v>
      </c>
      <c r="E101" s="13">
        <v>303291.34999999998</v>
      </c>
      <c r="G101" s="9" t="s">
        <v>21</v>
      </c>
      <c r="H101" s="13">
        <v>2021943.92</v>
      </c>
    </row>
    <row r="102" spans="1:8" x14ac:dyDescent="0.35">
      <c r="A102" s="9" t="s">
        <v>49</v>
      </c>
      <c r="B102" s="13">
        <v>12066</v>
      </c>
      <c r="D102" s="9" t="s">
        <v>49</v>
      </c>
      <c r="E102" s="13">
        <v>1564180.7999999998</v>
      </c>
      <c r="G102" s="9" t="s">
        <v>49</v>
      </c>
      <c r="H102" s="13">
        <v>7844151.8100000005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864F-B4A6-4C48-99C6-239E59CB2089}">
  <dimension ref="A1:AI23"/>
  <sheetViews>
    <sheetView showGridLines="0" tabSelected="1" topLeftCell="A98" zoomScale="40" zoomScaleNormal="47" workbookViewId="0">
      <selection activeCell="AA131" sqref="AA131"/>
    </sheetView>
  </sheetViews>
  <sheetFormatPr defaultRowHeight="14.5" x14ac:dyDescent="0.35"/>
  <cols>
    <col min="1" max="16384" width="8.7265625" style="1"/>
  </cols>
  <sheetData>
    <row r="1" spans="1:35" s="3" customFormat="1" ht="14.5" customHeight="1" x14ac:dyDescent="0.35">
      <c r="A1" s="12" t="s">
        <v>89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5" s="3" customFormat="1" ht="14.5" customHeight="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row>
    <row r="13" spans="1:35" ht="21" x14ac:dyDescent="0.5">
      <c r="G13" s="6"/>
    </row>
    <row r="23" spans="30:30" x14ac:dyDescent="0.35">
      <c r="AD23" s="1" t="s">
        <v>90</v>
      </c>
    </row>
  </sheetData>
  <mergeCells count="1">
    <mergeCell ref="A1:AI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BE71BC-F3F8-42B2-AB6C-8783B805F0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vw_delivery_perf</vt:lpstr>
      <vt:lpstr>vw_store_pnl</vt:lpstr>
      <vt:lpstr>vw_root_cause</vt:lpstr>
      <vt:lpstr>vw_promo_impact</vt:lpstr>
      <vt:lpstr>vw_category_perf</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kumar</dc:creator>
  <cp:lastModifiedBy>deepak kumar</cp:lastModifiedBy>
  <dcterms:created xsi:type="dcterms:W3CDTF">2026-09-22T07:52:30Z</dcterms:created>
  <dcterms:modified xsi:type="dcterms:W3CDTF">2026-09-23T07:01:17Z</dcterms:modified>
</cp:coreProperties>
</file>